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7E1636CB-8D35-4D93-8EE0-633C64087C78}" xr6:coauthVersionLast="47" xr6:coauthVersionMax="47" xr10:uidLastSave="{00000000-0000-0000-0000-000000000000}"/>
  <bookViews>
    <workbookView xWindow="28680" yWindow="-120" windowWidth="29040" windowHeight="15720" activeTab="1" xr2:uid="{3C5D53B1-B2EF-4151-8264-D443F1D8BF97}"/>
  </bookViews>
  <sheets>
    <sheet name="총괄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80" i="3" l="1"/>
  <c r="R180" i="3"/>
  <c r="S179" i="3"/>
  <c r="R179" i="3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D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D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D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D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D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5" i="3"/>
  <c r="R365" i="3"/>
  <c r="O365" i="3"/>
  <c r="D368" i="1" s="1"/>
  <c r="S364" i="3"/>
  <c r="R364" i="3"/>
  <c r="O364" i="3"/>
  <c r="S363" i="3"/>
  <c r="R363" i="3"/>
  <c r="O363" i="3"/>
  <c r="D366" i="1" s="1"/>
  <c r="S362" i="3"/>
  <c r="R362" i="3"/>
  <c r="O362" i="3"/>
  <c r="D365" i="1" s="1"/>
  <c r="S361" i="3"/>
  <c r="R361" i="3"/>
  <c r="O361" i="3"/>
  <c r="D364" i="1" s="1"/>
  <c r="S360" i="3"/>
  <c r="R360" i="3"/>
  <c r="O360" i="3"/>
  <c r="D363" i="1" s="1"/>
  <c r="S359" i="3"/>
  <c r="R359" i="3"/>
  <c r="O359" i="3"/>
  <c r="D362" i="1" s="1"/>
  <c r="S358" i="3"/>
  <c r="R358" i="3"/>
  <c r="O358" i="3"/>
  <c r="D361" i="1" s="1"/>
  <c r="S357" i="3"/>
  <c r="R357" i="3"/>
  <c r="O357" i="3"/>
  <c r="D360" i="1" s="1"/>
  <c r="S356" i="3"/>
  <c r="R356" i="3"/>
  <c r="O356" i="3"/>
  <c r="D359" i="1" s="1"/>
  <c r="S355" i="3"/>
  <c r="R355" i="3"/>
  <c r="O355" i="3"/>
  <c r="D358" i="1" s="1"/>
  <c r="S354" i="3"/>
  <c r="R354" i="3"/>
  <c r="O354" i="3"/>
  <c r="D357" i="1" s="1"/>
  <c r="S353" i="3"/>
  <c r="R353" i="3"/>
  <c r="O353" i="3"/>
  <c r="D356" i="1" s="1"/>
  <c r="S352" i="3"/>
  <c r="R352" i="3"/>
  <c r="O352" i="3"/>
  <c r="D355" i="1" s="1"/>
  <c r="S351" i="3"/>
  <c r="R351" i="3"/>
  <c r="O351" i="3"/>
  <c r="D354" i="1" s="1"/>
  <c r="S350" i="3"/>
  <c r="R350" i="3"/>
  <c r="O350" i="3"/>
  <c r="D353" i="1" s="1"/>
  <c r="S349" i="3"/>
  <c r="R349" i="3"/>
  <c r="O349" i="3"/>
  <c r="D352" i="1" s="1"/>
  <c r="S348" i="3"/>
  <c r="R348" i="3"/>
  <c r="O348" i="3"/>
  <c r="D351" i="1" s="1"/>
  <c r="S347" i="3"/>
  <c r="R347" i="3"/>
  <c r="O347" i="3"/>
  <c r="D350" i="1" s="1"/>
  <c r="S346" i="3"/>
  <c r="R346" i="3"/>
  <c r="O346" i="3"/>
  <c r="D349" i="1" s="1"/>
  <c r="S345" i="3"/>
  <c r="R345" i="3"/>
  <c r="O345" i="3"/>
  <c r="D348" i="1" s="1"/>
  <c r="S344" i="3"/>
  <c r="R344" i="3"/>
  <c r="O344" i="3"/>
  <c r="D347" i="1" s="1"/>
  <c r="S343" i="3"/>
  <c r="R343" i="3"/>
  <c r="O343" i="3"/>
  <c r="D346" i="1" s="1"/>
  <c r="S342" i="3"/>
  <c r="R342" i="3"/>
  <c r="O342" i="3"/>
  <c r="D345" i="1" s="1"/>
  <c r="S341" i="3"/>
  <c r="R341" i="3"/>
  <c r="O341" i="3"/>
  <c r="D344" i="1" s="1"/>
  <c r="S340" i="3"/>
  <c r="R340" i="3"/>
  <c r="O340" i="3"/>
  <c r="D343" i="1" s="1"/>
  <c r="S339" i="3"/>
  <c r="R339" i="3"/>
  <c r="O339" i="3"/>
  <c r="D342" i="1" s="1"/>
  <c r="S338" i="3"/>
  <c r="R338" i="3"/>
  <c r="O338" i="3"/>
  <c r="D341" i="1" s="1"/>
  <c r="S337" i="3"/>
  <c r="R337" i="3"/>
  <c r="O337" i="3"/>
  <c r="D340" i="1" s="1"/>
  <c r="S336" i="3"/>
  <c r="R336" i="3"/>
  <c r="O336" i="3"/>
  <c r="D339" i="1" s="1"/>
  <c r="S335" i="3"/>
  <c r="R335" i="3"/>
  <c r="O335" i="3"/>
  <c r="D338" i="1" s="1"/>
  <c r="S334" i="3"/>
  <c r="R334" i="3"/>
  <c r="O334" i="3"/>
  <c r="D337" i="1" s="1"/>
  <c r="S333" i="3"/>
  <c r="R333" i="3"/>
  <c r="O333" i="3"/>
  <c r="D336" i="1" s="1"/>
  <c r="S332" i="3"/>
  <c r="R332" i="3"/>
  <c r="O332" i="3"/>
  <c r="D335" i="1" s="1"/>
  <c r="S331" i="3"/>
  <c r="R331" i="3"/>
  <c r="O331" i="3"/>
  <c r="D334" i="1" s="1"/>
  <c r="S330" i="3"/>
  <c r="R330" i="3"/>
  <c r="O330" i="3"/>
  <c r="D333" i="1" s="1"/>
  <c r="S329" i="3"/>
  <c r="R329" i="3"/>
  <c r="O329" i="3"/>
  <c r="D332" i="1" s="1"/>
  <c r="S328" i="3"/>
  <c r="R328" i="3"/>
  <c r="O328" i="3"/>
  <c r="D331" i="1" s="1"/>
  <c r="S327" i="3"/>
  <c r="R327" i="3"/>
  <c r="O327" i="3"/>
  <c r="D330" i="1" s="1"/>
  <c r="S326" i="3"/>
  <c r="R326" i="3"/>
  <c r="O326" i="3"/>
  <c r="D329" i="1" s="1"/>
  <c r="S325" i="3"/>
  <c r="R325" i="3"/>
  <c r="O325" i="3"/>
  <c r="D328" i="1" s="1"/>
  <c r="S324" i="3"/>
  <c r="R324" i="3"/>
  <c r="O324" i="3"/>
  <c r="D327" i="1" s="1"/>
  <c r="S323" i="3"/>
  <c r="R323" i="3"/>
  <c r="O323" i="3"/>
  <c r="D326" i="1" s="1"/>
  <c r="S322" i="3"/>
  <c r="R322" i="3"/>
  <c r="O322" i="3"/>
  <c r="D325" i="1" s="1"/>
  <c r="S321" i="3"/>
  <c r="R321" i="3"/>
  <c r="O321" i="3"/>
  <c r="D324" i="1" s="1"/>
  <c r="S320" i="3"/>
  <c r="R320" i="3"/>
  <c r="O320" i="3"/>
  <c r="D323" i="1" s="1"/>
  <c r="S319" i="3"/>
  <c r="R319" i="3"/>
  <c r="O319" i="3"/>
  <c r="D322" i="1" s="1"/>
  <c r="S318" i="3"/>
  <c r="R318" i="3"/>
  <c r="O318" i="3"/>
  <c r="D321" i="1" s="1"/>
  <c r="S317" i="3"/>
  <c r="R317" i="3"/>
  <c r="O317" i="3"/>
  <c r="D320" i="1" s="1"/>
  <c r="S316" i="3"/>
  <c r="R316" i="3"/>
  <c r="O316" i="3"/>
  <c r="D319" i="1" s="1"/>
  <c r="S315" i="3"/>
  <c r="R315" i="3"/>
  <c r="O315" i="3"/>
  <c r="D318" i="1" s="1"/>
  <c r="S314" i="3"/>
  <c r="R314" i="3"/>
  <c r="O314" i="3"/>
  <c r="S313" i="3"/>
  <c r="R313" i="3"/>
  <c r="O313" i="3"/>
  <c r="D316" i="1" s="1"/>
  <c r="S312" i="3"/>
  <c r="R312" i="3"/>
  <c r="O312" i="3"/>
  <c r="D315" i="1" s="1"/>
  <c r="S311" i="3"/>
  <c r="R311" i="3"/>
  <c r="O311" i="3"/>
  <c r="D314" i="1" s="1"/>
  <c r="S310" i="3"/>
  <c r="R310" i="3"/>
  <c r="O310" i="3"/>
  <c r="D313" i="1" s="1"/>
  <c r="S309" i="3"/>
  <c r="R309" i="3"/>
  <c r="O309" i="3"/>
  <c r="D312" i="1" s="1"/>
  <c r="S308" i="3"/>
  <c r="R308" i="3"/>
  <c r="O308" i="3"/>
  <c r="D311" i="1" s="1"/>
  <c r="S307" i="3"/>
  <c r="R307" i="3"/>
  <c r="O307" i="3"/>
  <c r="D310" i="1" s="1"/>
  <c r="S306" i="3"/>
  <c r="R306" i="3"/>
  <c r="O306" i="3"/>
  <c r="D309" i="1" s="1"/>
  <c r="S305" i="3"/>
  <c r="R305" i="3"/>
  <c r="O305" i="3"/>
  <c r="D308" i="1" s="1"/>
  <c r="S304" i="3"/>
  <c r="R304" i="3"/>
  <c r="O304" i="3"/>
  <c r="D307" i="1" s="1"/>
  <c r="S303" i="3"/>
  <c r="R303" i="3"/>
  <c r="O303" i="3"/>
  <c r="D306" i="1" s="1"/>
  <c r="S302" i="3"/>
  <c r="R302" i="3"/>
  <c r="O302" i="3"/>
  <c r="D305" i="1" s="1"/>
  <c r="S301" i="3"/>
  <c r="R301" i="3"/>
  <c r="O301" i="3"/>
  <c r="D304" i="1" s="1"/>
  <c r="S300" i="3"/>
  <c r="R300" i="3"/>
  <c r="O300" i="3"/>
  <c r="D303" i="1" s="1"/>
  <c r="S299" i="3"/>
  <c r="R299" i="3"/>
  <c r="O299" i="3"/>
  <c r="D302" i="1" s="1"/>
  <c r="S298" i="3"/>
  <c r="R298" i="3"/>
  <c r="O298" i="3"/>
  <c r="D301" i="1" s="1"/>
  <c r="S297" i="3"/>
  <c r="R297" i="3"/>
  <c r="O297" i="3"/>
  <c r="D300" i="1" s="1"/>
  <c r="S296" i="3"/>
  <c r="R296" i="3"/>
  <c r="O296" i="3"/>
  <c r="D299" i="1" s="1"/>
  <c r="S295" i="3"/>
  <c r="R295" i="3"/>
  <c r="O295" i="3"/>
  <c r="D298" i="1" s="1"/>
  <c r="S294" i="3"/>
  <c r="R294" i="3"/>
  <c r="O294" i="3"/>
  <c r="D297" i="1" s="1"/>
  <c r="S293" i="3"/>
  <c r="R293" i="3"/>
  <c r="O293" i="3"/>
  <c r="D296" i="1" s="1"/>
  <c r="S292" i="3"/>
  <c r="R292" i="3"/>
  <c r="O292" i="3"/>
  <c r="D295" i="1" s="1"/>
  <c r="S291" i="3"/>
  <c r="R291" i="3"/>
  <c r="O291" i="3"/>
  <c r="D294" i="1" s="1"/>
  <c r="S290" i="3"/>
  <c r="R290" i="3"/>
  <c r="O290" i="3"/>
  <c r="D293" i="1" s="1"/>
  <c r="S289" i="3"/>
  <c r="R289" i="3"/>
  <c r="O289" i="3"/>
  <c r="D292" i="1" s="1"/>
  <c r="S288" i="3"/>
  <c r="R288" i="3"/>
  <c r="O288" i="3"/>
  <c r="D291" i="1" s="1"/>
  <c r="S287" i="3"/>
  <c r="R287" i="3"/>
  <c r="O287" i="3"/>
  <c r="D290" i="1" s="1"/>
  <c r="S286" i="3"/>
  <c r="R286" i="3"/>
  <c r="O286" i="3"/>
  <c r="D289" i="1" s="1"/>
  <c r="S285" i="3"/>
  <c r="R285" i="3"/>
  <c r="O285" i="3"/>
  <c r="D288" i="1" s="1"/>
  <c r="S284" i="3"/>
  <c r="R284" i="3"/>
  <c r="O284" i="3"/>
  <c r="D287" i="1" s="1"/>
  <c r="S283" i="3"/>
  <c r="R283" i="3"/>
  <c r="O283" i="3"/>
  <c r="D286" i="1" s="1"/>
  <c r="S282" i="3"/>
  <c r="R282" i="3"/>
  <c r="O282" i="3"/>
  <c r="D285" i="1" s="1"/>
  <c r="S281" i="3"/>
  <c r="R281" i="3"/>
  <c r="O281" i="3"/>
  <c r="D284" i="1" s="1"/>
  <c r="S280" i="3"/>
  <c r="R280" i="3"/>
  <c r="O280" i="3"/>
  <c r="D283" i="1" s="1"/>
  <c r="S279" i="3"/>
  <c r="R279" i="3"/>
  <c r="O279" i="3"/>
  <c r="D282" i="1" s="1"/>
  <c r="S278" i="3"/>
  <c r="R278" i="3"/>
  <c r="O278" i="3"/>
  <c r="D281" i="1" s="1"/>
  <c r="S277" i="3"/>
  <c r="R277" i="3"/>
  <c r="O277" i="3"/>
  <c r="D280" i="1" s="1"/>
  <c r="S276" i="3"/>
  <c r="R276" i="3"/>
  <c r="O276" i="3"/>
  <c r="D279" i="1" s="1"/>
  <c r="S275" i="3"/>
  <c r="R275" i="3"/>
  <c r="O275" i="3"/>
  <c r="D278" i="1" s="1"/>
  <c r="S274" i="3"/>
  <c r="R274" i="3"/>
  <c r="O274" i="3"/>
  <c r="D277" i="1" s="1"/>
  <c r="S273" i="3"/>
  <c r="R273" i="3"/>
  <c r="O273" i="3"/>
  <c r="D276" i="1" s="1"/>
  <c r="S272" i="3"/>
  <c r="R272" i="3"/>
  <c r="O272" i="3"/>
  <c r="D275" i="1" s="1"/>
  <c r="S271" i="3"/>
  <c r="R271" i="3"/>
  <c r="O271" i="3"/>
  <c r="D274" i="1" s="1"/>
  <c r="S270" i="3"/>
  <c r="R270" i="3"/>
  <c r="O270" i="3"/>
  <c r="D273" i="1" s="1"/>
  <c r="S269" i="3"/>
  <c r="R269" i="3"/>
  <c r="O269" i="3"/>
  <c r="D272" i="1" s="1"/>
  <c r="S268" i="3"/>
  <c r="R268" i="3"/>
  <c r="O268" i="3"/>
  <c r="D271" i="1" s="1"/>
  <c r="S267" i="3"/>
  <c r="R267" i="3"/>
  <c r="O267" i="3"/>
  <c r="D270" i="1" s="1"/>
  <c r="S266" i="3"/>
  <c r="R266" i="3"/>
  <c r="O266" i="3"/>
  <c r="D269" i="1" s="1"/>
  <c r="S265" i="3"/>
  <c r="R265" i="3"/>
  <c r="O265" i="3"/>
  <c r="D268" i="1" s="1"/>
  <c r="S264" i="3"/>
  <c r="R264" i="3"/>
  <c r="O264" i="3"/>
  <c r="D267" i="1" s="1"/>
  <c r="S263" i="3"/>
  <c r="R263" i="3"/>
  <c r="O263" i="3"/>
  <c r="D266" i="1" s="1"/>
  <c r="O261" i="3"/>
  <c r="D264" i="1" s="1"/>
  <c r="O260" i="3"/>
  <c r="D263" i="1" s="1"/>
  <c r="S259" i="3"/>
  <c r="R259" i="3"/>
  <c r="O259" i="3"/>
  <c r="D262" i="1" s="1"/>
  <c r="S258" i="3"/>
  <c r="R258" i="3"/>
  <c r="O258" i="3"/>
  <c r="D261" i="1" s="1"/>
  <c r="O257" i="3"/>
  <c r="D260" i="1" s="1"/>
  <c r="O256" i="3"/>
  <c r="D259" i="1" s="1"/>
  <c r="S255" i="3"/>
  <c r="R255" i="3"/>
  <c r="O255" i="3"/>
  <c r="D258" i="1" s="1"/>
  <c r="S254" i="3"/>
  <c r="R254" i="3"/>
  <c r="O254" i="3"/>
  <c r="D257" i="1" s="1"/>
  <c r="S253" i="3"/>
  <c r="R253" i="3"/>
  <c r="O253" i="3"/>
  <c r="D256" i="1" s="1"/>
  <c r="S252" i="3"/>
  <c r="R252" i="3"/>
  <c r="O252" i="3"/>
  <c r="D255" i="1" s="1"/>
  <c r="S251" i="3"/>
  <c r="R251" i="3"/>
  <c r="O251" i="3"/>
  <c r="D254" i="1" s="1"/>
  <c r="S250" i="3"/>
  <c r="R250" i="3"/>
  <c r="O250" i="3"/>
  <c r="D253" i="1" s="1"/>
  <c r="S249" i="3"/>
  <c r="R249" i="3"/>
  <c r="O249" i="3"/>
  <c r="D252" i="1" s="1"/>
  <c r="S248" i="3"/>
  <c r="R248" i="3"/>
  <c r="O248" i="3"/>
  <c r="D251" i="1" s="1"/>
  <c r="S247" i="3"/>
  <c r="R247" i="3"/>
  <c r="O247" i="3"/>
  <c r="D250" i="1" s="1"/>
  <c r="S246" i="3"/>
  <c r="R246" i="3"/>
  <c r="O246" i="3"/>
  <c r="D249" i="1" s="1"/>
  <c r="S245" i="3"/>
  <c r="R245" i="3"/>
  <c r="O245" i="3"/>
  <c r="D248" i="1" s="1"/>
  <c r="S244" i="3"/>
  <c r="R244" i="3"/>
  <c r="O244" i="3"/>
  <c r="D247" i="1" s="1"/>
  <c r="S243" i="3"/>
  <c r="R243" i="3"/>
  <c r="O243" i="3"/>
  <c r="D246" i="1" s="1"/>
  <c r="S242" i="3"/>
  <c r="R242" i="3"/>
  <c r="O242" i="3"/>
  <c r="D245" i="1" s="1"/>
  <c r="S241" i="3"/>
  <c r="R241" i="3"/>
  <c r="O241" i="3"/>
  <c r="D244" i="1" s="1"/>
  <c r="S240" i="3"/>
  <c r="R240" i="3"/>
  <c r="O240" i="3"/>
  <c r="D243" i="1" s="1"/>
  <c r="S239" i="3"/>
  <c r="R239" i="3"/>
  <c r="O239" i="3"/>
  <c r="D242" i="1" s="1"/>
  <c r="S238" i="3"/>
  <c r="R238" i="3"/>
  <c r="O238" i="3"/>
  <c r="D241" i="1" s="1"/>
  <c r="S237" i="3"/>
  <c r="R237" i="3"/>
  <c r="O237" i="3"/>
  <c r="D240" i="1" s="1"/>
  <c r="S236" i="3"/>
  <c r="R236" i="3"/>
  <c r="O236" i="3"/>
  <c r="D239" i="1" s="1"/>
  <c r="S235" i="3"/>
  <c r="R235" i="3"/>
  <c r="O235" i="3"/>
  <c r="D238" i="1" s="1"/>
  <c r="S234" i="3"/>
  <c r="R234" i="3"/>
  <c r="O234" i="3"/>
  <c r="D237" i="1" s="1"/>
  <c r="S233" i="3"/>
  <c r="R233" i="3"/>
  <c r="O233" i="3"/>
  <c r="D236" i="1" s="1"/>
  <c r="S232" i="3"/>
  <c r="R232" i="3"/>
  <c r="O232" i="3"/>
  <c r="D235" i="1" s="1"/>
  <c r="S231" i="3"/>
  <c r="R231" i="3"/>
  <c r="O231" i="3"/>
  <c r="D234" i="1" s="1"/>
  <c r="S230" i="3"/>
  <c r="R230" i="3"/>
  <c r="O230" i="3"/>
  <c r="D233" i="1" s="1"/>
  <c r="S229" i="3"/>
  <c r="R229" i="3"/>
  <c r="O229" i="3"/>
  <c r="D232" i="1" s="1"/>
  <c r="S228" i="3"/>
  <c r="R228" i="3"/>
  <c r="O228" i="3"/>
  <c r="D231" i="1" s="1"/>
  <c r="S227" i="3"/>
  <c r="R227" i="3"/>
  <c r="O227" i="3"/>
  <c r="D230" i="1" s="1"/>
  <c r="S226" i="3"/>
  <c r="R226" i="3"/>
  <c r="O226" i="3"/>
  <c r="D229" i="1" s="1"/>
  <c r="S225" i="3"/>
  <c r="R225" i="3"/>
  <c r="O225" i="3"/>
  <c r="D228" i="1" s="1"/>
  <c r="S224" i="3"/>
  <c r="R224" i="3"/>
  <c r="O224" i="3"/>
  <c r="D227" i="1" s="1"/>
  <c r="S223" i="3"/>
  <c r="R223" i="3"/>
  <c r="O223" i="3"/>
  <c r="D226" i="1" s="1"/>
  <c r="S222" i="3"/>
  <c r="R222" i="3"/>
  <c r="O222" i="3"/>
  <c r="D225" i="1" s="1"/>
  <c r="S221" i="3"/>
  <c r="R221" i="3"/>
  <c r="S220" i="3"/>
  <c r="R220" i="3"/>
  <c r="O220" i="3"/>
  <c r="D223" i="1" s="1"/>
  <c r="S219" i="3"/>
  <c r="R219" i="3"/>
  <c r="O219" i="3"/>
  <c r="D222" i="1" s="1"/>
  <c r="S218" i="3"/>
  <c r="R218" i="3"/>
  <c r="O218" i="3"/>
  <c r="D221" i="1" s="1"/>
  <c r="S217" i="3"/>
  <c r="R217" i="3"/>
  <c r="O217" i="3"/>
  <c r="D220" i="1" s="1"/>
  <c r="S216" i="3"/>
  <c r="R216" i="3"/>
  <c r="O216" i="3"/>
  <c r="D219" i="1" s="1"/>
  <c r="S215" i="3"/>
  <c r="R215" i="3"/>
  <c r="O215" i="3"/>
  <c r="D218" i="1" s="1"/>
  <c r="S214" i="3"/>
  <c r="R214" i="3"/>
  <c r="O214" i="3"/>
  <c r="D217" i="1" s="1"/>
  <c r="S213" i="3"/>
  <c r="R213" i="3"/>
  <c r="O213" i="3"/>
  <c r="D216" i="1" s="1"/>
  <c r="S212" i="3"/>
  <c r="R212" i="3"/>
  <c r="O212" i="3"/>
  <c r="D215" i="1" s="1"/>
  <c r="S211" i="3"/>
  <c r="R211" i="3"/>
  <c r="O211" i="3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S206" i="3"/>
  <c r="R206" i="3"/>
  <c r="O206" i="3"/>
  <c r="D209" i="1" s="1"/>
  <c r="S205" i="3"/>
  <c r="R205" i="3"/>
  <c r="O205" i="3"/>
  <c r="D208" i="1" s="1"/>
  <c r="S204" i="3"/>
  <c r="R204" i="3"/>
  <c r="O204" i="3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D189" i="1" s="1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O180" i="3"/>
  <c r="D183" i="1" s="1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<sst xmlns="http://schemas.openxmlformats.org/spreadsheetml/2006/main" count="5196" uniqueCount="2391">
  <si>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</si>
  <si>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</si>
  <si>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</si>
  <si>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</si>
  <si>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</si>
  <si>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</si>
  <si>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</si>
  <si>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</si>
  <si>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</si>
  <si>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</si>
  <si>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</si>
  <si>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</si>
  <si>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</si>
  <si>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</si>
  <si>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</si>
  <si>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</si>
  <si>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</si>
  <si>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</si>
  <si>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</si>
  <si>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</si>
  <si>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</si>
  <si>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</si>
  <si>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</si>
  <si>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</si>
  <si>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</si>
  <si>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</si>
  <si>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</si>
  <si>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</si>
  <si>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</si>
  <si>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</si>
  <si>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</si>
  <si>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</si>
  <si>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</si>
  <si>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</si>
  <si>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</si>
  <si>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</si>
  <si>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</si>
  <si>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</si>
  <si>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</si>
  <si>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</si>
  <si>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</si>
  <si>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</si>
  <si>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</si>
  <si>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</si>
  <si>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</si>
  <si>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</si>
  <si>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</si>
  <si>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</si>
  <si>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</si>
  <si>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</si>
  <si>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</si>
  <si>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</si>
  <si>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</si>
  <si>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</si>
  <si>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</si>
  <si>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</si>
  <si>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</si>
  <si>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</si>
  <si>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</si>
  <si>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</si>
  <si>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</si>
  <si>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</si>
  <si>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</si>
  <si>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</si>
  <si>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</si>
  <si>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</si>
  <si>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</si>
  <si>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</si>
  <si>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</si>
  <si>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</si>
  <si>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</si>
  <si>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</si>
  <si>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</si>
  <si>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</si>
  <si>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</si>
  <si>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</si>
  <si>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</si>
  <si>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</si>
  <si>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</si>
  <si>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</si>
  <si>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</si>
  <si>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</si>
  <si>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</si>
  <si>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</si>
  <si>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</si>
  <si>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</si>
  <si>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</si>
  <si>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</si>
  <si>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</si>
  <si>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</si>
  <si>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</si>
  <si>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</si>
  <si>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</si>
  <si>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</si>
  <si>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</si>
  <si>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</si>
  <si>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</si>
  <si>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</si>
  <si>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</si>
  <si>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</si>
  <si>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</si>
  <si>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</si>
  <si>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</si>
  <si>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</si>
  <si>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</si>
  <si>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</si>
  <si>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</si>
  <si>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</si>
  <si>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</si>
  <si>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</si>
  <si>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</si>
  <si>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</si>
  <si>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</si>
  <si>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</si>
  <si>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</si>
  <si>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</si>
  <si>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</si>
  <si>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</si>
  <si>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</si>
  <si>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</si>
  <si>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</si>
  <si>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</si>
  <si>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</si>
  <si>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</si>
  <si>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</si>
  <si>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</si>
  <si>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</si>
  <si>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</si>
  <si>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</si>
  <si>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</si>
  <si>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</si>
  <si>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</si>
  <si>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</si>
  <si>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</si>
  <si>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</si>
  <si>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</si>
  <si>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</si>
  <si>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</si>
  <si>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</si>
  <si>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</si>
  <si>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</si>
  <si>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</si>
  <si>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</si>
  <si>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</si>
  <si>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</si>
  <si>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</si>
  <si>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</si>
  <si>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</si>
  <si>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</si>
  <si>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</si>
  <si>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</si>
  <si>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</si>
  <si>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</si>
  <si>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</si>
  <si>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</si>
  <si>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</si>
  <si>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</si>
  <si>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</si>
  <si>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</si>
  <si>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</si>
  <si>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</si>
  <si>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</si>
  <si>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</si>
  <si>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</si>
  <si>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</si>
  <si>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</si>
  <si>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</si>
  <si>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</si>
  <si>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</si>
  <si>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</si>
  <si>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</si>
  <si>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</si>
  <si>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</si>
  <si>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</si>
  <si>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</si>
  <si>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</si>
  <si>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</si>
  <si>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</si>
  <si>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</si>
  <si>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</si>
  <si>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</si>
  <si>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</si>
  <si>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</si>
  <si>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</si>
  <si>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</si>
  <si>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</si>
  <si>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</si>
  <si>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</si>
  <si>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</si>
  <si>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</si>
  <si>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</si>
  <si>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</si>
  <si>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</si>
  <si>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</si>
  <si>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</si>
  <si>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</si>
  <si>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</si>
  <si>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</si>
  <si>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</si>
  <si>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</si>
  <si>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</si>
  <si>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</si>
  <si>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</si>
  <si>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</si>
  <si>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</si>
  <si>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</si>
  <si>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</si>
  <si>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</si>
  <si>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</si>
  <si>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</si>
  <si>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</si>
  <si>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</si>
  <si>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</si>
  <si>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</si>
  <si>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</si>
  <si>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</si>
  <si>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</si>
  <si>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</si>
  <si>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</si>
  <si>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</si>
  <si>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</si>
  <si>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</si>
  <si>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</si>
  <si>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</si>
  <si>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</si>
  <si>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</si>
  <si>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</si>
  <si>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</si>
  <si>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</si>
  <si>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</si>
  <si>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</si>
  <si>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</si>
  <si>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</si>
  <si>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</si>
  <si>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</si>
  <si>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</si>
  <si>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</si>
  <si>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</si>
  <si>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</si>
  <si>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</si>
  <si>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</si>
  <si>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</si>
  <si>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</si>
  <si>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</si>
  <si>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</si>
  <si>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</si>
  <si>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</si>
  <si>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</si>
  <si>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</si>
  <si>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</si>
  <si>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</si>
  <si>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</si>
  <si>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</si>
  <si>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</si>
  <si>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</si>
  <si>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</si>
  <si>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</si>
  <si>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</si>
  <si>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</si>
  <si>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</si>
  <si>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</si>
  <si>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</si>
  <si>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</si>
  <si>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</si>
  <si>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</si>
  <si>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</si>
  <si>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</si>
  <si>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</si>
  <si>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</si>
  <si>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</si>
  <si>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</si>
  <si>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</si>
  <si>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</si>
  <si>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</si>
  <si>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</si>
  <si>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</si>
  <si>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</si>
  <si>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</si>
  <si>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</si>
  <si>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</si>
  <si>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</si>
  <si>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</si>
  <si>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</si>
  <si>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</si>
  <si>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</si>
  <si>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</si>
  <si>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</si>
  <si>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</si>
  <si>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</si>
  <si>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</si>
  <si>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</si>
  <si>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</si>
  <si>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</si>
  <si>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</si>
  <si>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</si>
  <si>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</si>
  <si>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</si>
  <si>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</si>
  <si>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</si>
  <si>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</si>
  <si>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</si>
  <si>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</si>
  <si>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</si>
  <si>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</si>
  <si>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</si>
  <si>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</si>
  <si>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</si>
  <si>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</si>
  <si>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</si>
  <si>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</si>
  <si>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</si>
  <si>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</si>
  <si>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</si>
  <si>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</si>
  <si>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</si>
  <si>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</si>
  <si>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</si>
  <si>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</si>
  <si>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</si>
  <si>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</si>
  <si>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</si>
  <si>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</si>
  <si>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</si>
  <si>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</si>
  <si>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</si>
  <si>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</si>
  <si>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</si>
  <si>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</si>
  <si>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</si>
  <si>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</si>
  <si>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</si>
  <si>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</si>
  <si>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</si>
  <si>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</si>
  <si>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</si>
  <si>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</si>
  <si>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</si>
  <si>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</si>
  <si>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</si>
  <si>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</si>
  <si>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</si>
  <si>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</si>
  <si>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</si>
  <si>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</si>
  <si>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</si>
  <si>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</si>
  <si>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</si>
  <si>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</si>
  <si>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</si>
  <si>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</si>
  <si>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</si>
  <si>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</si>
  <si>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</si>
  <si>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</si>
  <si>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</si>
  <si>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</si>
  <si>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</si>
  <si>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</si>
  <si>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</si>
  <si>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</si>
  <si>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</si>
  <si>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</si>
  <si>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</si>
  <si>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</si>
  <si>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</si>
  <si>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</si>
  <si>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</si>
  <si>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</si>
  <si>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</si>
  <si>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</si>
  <si>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</si>
  <si>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</si>
  <si>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</si>
  <si>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</si>
  <si>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</si>
  <si>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</si>
  <si>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</si>
  <si>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</si>
  <si>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</si>
  <si>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</si>
  <si>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</si>
  <si>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</si>
  <si>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</si>
  <si>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</si>
  <si>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</si>
  <si>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</si>
  <si>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</si>
  <si>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</si>
  <si>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</si>
  <si>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</si>
  <si>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</si>
  <si>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</si>
  <si>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</si>
  <si>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</si>
  <si>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</si>
  <si>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</si>
  <si>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</si>
  <si>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</si>
  <si>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</si>
  <si>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</si>
  <si>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</si>
  <si>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</si>
  <si>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</si>
  <si>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</si>
  <si>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</si>
  <si>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</si>
  <si>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</si>
  <si>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</si>
  <si>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</si>
  <si>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</si>
  <si>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</si>
  <si>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</si>
  <si>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</si>
  <si>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</si>
  <si>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</si>
  <si>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</si>
  <si>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</si>
  <si>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</si>
  <si>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</si>
  <si>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</si>
  <si>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</si>
  <si>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</si>
  <si>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</si>
  <si>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</si>
  <si>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</si>
  <si>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</si>
  <si>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</si>
  <si>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</si>
  <si>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</si>
  <si>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</si>
  <si>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</si>
  <si>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</si>
  <si>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</si>
  <si>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</si>
  <si>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</si>
  <si>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</si>
  <si>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</si>
  <si>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</si>
  <si>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</si>
  <si>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</si>
  <si>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</si>
  <si>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</si>
  <si>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</si>
  <si>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</si>
  <si>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</si>
  <si>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</si>
  <si>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</si>
  <si>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</si>
  <si>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</si>
  <si>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</si>
  <si>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</si>
  <si>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</si>
  <si>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</si>
  <si>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</si>
  <si>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</si>
  <si>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</si>
  <si>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</si>
  <si>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</si>
  <si>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</si>
  <si>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</si>
  <si>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</si>
  <si>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</si>
  <si>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</si>
  <si>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</si>
  <si>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</si>
  <si>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</si>
  <si>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</si>
  <si>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</si>
  <si>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</si>
  <si>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</si>
  <si>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</si>
  <si>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</si>
  <si>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</si>
  <si>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</si>
  <si>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</si>
  <si>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</si>
  <si>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</si>
  <si>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</si>
  <si>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</si>
  <si>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</si>
  <si>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</si>
  <si>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</si>
  <si>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</si>
  <si>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</si>
  <si>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</si>
  <si>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</si>
  <si>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</si>
  <si>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</si>
  <si>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</si>
  <si>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</si>
  <si>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</si>
  <si>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</si>
  <si>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</si>
  <si>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</si>
  <si>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</si>
  <si>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</si>
  <si>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</si>
  <si>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</si>
  <si>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</si>
  <si>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</si>
  <si>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</si>
  <si>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</si>
  <si>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</si>
  <si>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</si>
  <si>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</si>
  <si>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</si>
  <si>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</si>
  <si>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</si>
  <si>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</si>
  <si>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</si>
  <si>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</si>
  <si>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</si>
  <si>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</si>
  <si>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</si>
  <si>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</si>
  <si>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</si>
  <si>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</si>
  <si>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</si>
  <si>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</si>
  <si>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</si>
  <si>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</si>
  <si>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</si>
  <si>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</si>
  <si>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</si>
  <si>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</si>
  <si>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</si>
  <si>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</si>
  <si>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</si>
  <si>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</si>
  <si>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</si>
  <si>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</si>
  <si>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</si>
  <si>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</si>
  <si>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</si>
  <si>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</si>
  <si>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</si>
  <si>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</si>
  <si>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</si>
  <si>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</si>
  <si>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</si>
  <si>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</si>
  <si>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</si>
  <si>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</si>
  <si>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</si>
  <si>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</si>
  <si>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</si>
  <si>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</si>
  <si>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</si>
  <si>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</si>
  <si>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</si>
  <si>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</si>
  <si>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</si>
  <si>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</si>
  <si>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</si>
  <si>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</si>
  <si>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</si>
  <si>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</si>
  <si>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</si>
  <si>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</si>
  <si>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</si>
  <si>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</si>
  <si>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</si>
  <si>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</si>
  <si>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</si>
  <si>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</si>
  <si>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</si>
  <si>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</si>
  <si>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</si>
  <si>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</si>
  <si>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</si>
  <si>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</si>
  <si>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</si>
  <si>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</si>
  <si>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</si>
  <si>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</si>
  <si>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</si>
  <si>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</si>
  <si>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</si>
  <si>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</si>
  <si>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</si>
  <si>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</si>
  <si>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</si>
  <si>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</si>
  <si>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</si>
  <si>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</si>
  <si>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</si>
  <si>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</si>
  <si>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</si>
  <si>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</si>
  <si>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</si>
  <si>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</si>
  <si>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</si>
  <si>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</si>
  <si>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</si>
  <si>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</si>
  <si>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</si>
  <si>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</si>
  <si>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</si>
  <si>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</si>
  <si>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</si>
  <si>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</si>
  <si>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</si>
  <si>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</si>
  <si>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</si>
  <si>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</si>
  <si>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</si>
  <si>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</si>
  <si>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</si>
  <si>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</si>
  <si>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</si>
  <si>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</si>
  <si>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</si>
  <si>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</si>
  <si>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</si>
  <si>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</si>
  <si>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</si>
  <si>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</si>
  <si>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</si>
  <si>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</si>
  <si>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</si>
  <si>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</si>
  <si>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</si>
  <si>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</si>
  <si>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</si>
  <si>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</si>
  <si>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</si>
  <si>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</si>
  <si>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</si>
  <si>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</si>
  <si>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</si>
  <si>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</si>
  <si>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</si>
  <si>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</si>
  <si>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</si>
  <si>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</si>
  <si>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</si>
  <si>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</si>
  <si>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</si>
  <si>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</si>
  <si>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</si>
  <si>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</si>
  <si>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</si>
  <si>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</si>
  <si>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</si>
  <si>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</si>
  <si>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</si>
  <si>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</si>
  <si>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</si>
  <si>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</si>
  <si>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</si>
  <si>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</si>
  <si>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</si>
  <si>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</si>
  <si>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</si>
  <si>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</si>
  <si>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</si>
  <si>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</si>
  <si>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</si>
  <si>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</si>
  <si>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</si>
  <si>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</si>
  <si>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</si>
  <si>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</si>
  <si>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</si>
  <si>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</si>
  <si>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</si>
  <si>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</si>
  <si>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</si>
  <si>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</si>
  <si>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</si>
  <si>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</si>
  <si>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</si>
  <si>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</si>
  <si>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</si>
  <si>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</si>
  <si>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</si>
  <si>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</si>
  <si>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</si>
  <si>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</si>
  <si>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</si>
  <si>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</si>
  <si>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</si>
  <si>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</si>
  <si>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</si>
  <si>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</si>
  <si>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</si>
  <si>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</si>
  <si>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</si>
  <si>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</si>
  <si>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</si>
  <si>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</si>
  <si>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</si>
  <si>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</si>
  <si>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</si>
  <si>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</si>
  <si>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</si>
  <si>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</si>
  <si>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</si>
  <si>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</si>
  <si>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</si>
  <si>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</si>
  <si>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</si>
  <si>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</si>
  <si>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</si>
  <si>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</si>
  <si>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</si>
  <si>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</si>
  <si>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</si>
  <si>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</si>
  <si>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</si>
  <si>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</si>
  <si>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</si>
  <si>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</si>
  <si>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</si>
  <si>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</si>
  <si>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</si>
  <si>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</si>
  <si>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</si>
  <si>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</si>
  <si>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</si>
  <si>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</si>
  <si>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</si>
  <si>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</si>
  <si>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</si>
  <si>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</si>
  <si>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</si>
  <si>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</si>
  <si>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</si>
  <si>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</si>
  <si>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</si>
  <si>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</si>
  <si>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</si>
  <si>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</si>
  <si>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</si>
  <si>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</si>
  <si>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</si>
  <si>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</si>
  <si>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</si>
  <si>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</si>
  <si>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</si>
  <si>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</si>
  <si>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</si>
  <si>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</si>
  <si>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</si>
  <si>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</si>
  <si>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</si>
  <si>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</si>
  <si>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</si>
  <si>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</si>
  <si>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</si>
  <si>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</si>
  <si>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</si>
  <si>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</si>
  <si>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</si>
  <si>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</si>
  <si>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</si>
  <si>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</si>
  <si>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</si>
  <si>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</si>
  <si>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</si>
  <si>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</si>
  <si>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</si>
  <si>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</si>
  <si>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</si>
  <si>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</si>
  <si>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</si>
  <si>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</si>
  <si>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</si>
  <si>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</si>
  <si>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</si>
  <si>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</si>
  <si>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</si>
  <si>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</si>
  <si>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</si>
  <si>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</si>
  <si>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</si>
  <si>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</si>
  <si>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</si>
  <si>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</si>
  <si>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</si>
  <si>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</si>
  <si>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</si>
  <si>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</si>
  <si>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</si>
  <si>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</si>
  <si>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</si>
  <si>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</si>
  <si>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</si>
  <si>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</si>
  <si>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</si>
  <si>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</si>
  <si>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</si>
  <si>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</si>
  <si>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</si>
  <si>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</si>
  <si>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</si>
  <si>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</si>
  <si>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</si>
  <si>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</si>
  <si>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</si>
  <si>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</si>
  <si>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</si>
  <si>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</si>
  <si>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</si>
  <si>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</si>
  <si>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</si>
  <si>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</si>
  <si>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</si>
  <si>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</si>
  <si>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</si>
  <si>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</si>
  <si>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</si>
  <si>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</si>
  <si>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</si>
  <si>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</si>
  <si>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</si>
  <si>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</si>
  <si>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</si>
  <si>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</si>
  <si>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</si>
  <si>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</si>
  <si>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</si>
  <si>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</si>
  <si>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</si>
  <si>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</si>
  <si>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</si>
  <si>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</si>
  <si>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</si>
  <si>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</si>
  <si>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</si>
  <si>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</si>
  <si>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</si>
  <si>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</si>
  <si>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</si>
  <si>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</si>
  <si>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</si>
  <si>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</si>
  <si>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</si>
  <si>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</si>
  <si>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</si>
  <si>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</si>
  <si>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</si>
  <si>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</si>
  <si>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</si>
  <si>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</si>
  <si>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</si>
  <si>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</si>
  <si>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</si>
  <si>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</si>
  <si>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</si>
  <si>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</si>
  <si>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</si>
  <si>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</si>
  <si>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</si>
  <si>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</si>
  <si>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</si>
  <si>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</si>
  <si>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</si>
  <si>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</si>
  <si>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</si>
  <si>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</si>
  <si>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</si>
  <si>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</si>
  <si>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</si>
  <si>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</si>
  <si>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</si>
  <si>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</si>
  <si>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</si>
  <si>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</si>
  <si>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</si>
  <si>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</si>
  <si>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</si>
  <si>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</si>
  <si>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</si>
  <si>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</si>
  <si>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</si>
  <si>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</si>
  <si>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</si>
  <si>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</si>
  <si>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</si>
  <si>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</si>
  <si>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</si>
  <si>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</si>
  <si>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</si>
  <si>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</si>
  <si>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</si>
  <si>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</si>
  <si>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</si>
  <si>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</si>
  <si>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</si>
  <si>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</si>
  <si>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</si>
  <si>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</si>
  <si>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</si>
  <si>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</si>
  <si>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</si>
  <si>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</si>
  <si>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</si>
  <si>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</si>
  <si>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</si>
  <si>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</si>
  <si>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</si>
  <si>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</si>
  <si>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</si>
  <si>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</si>
  <si>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</si>
  <si>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</si>
  <si>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</si>
  <si>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</si>
  <si>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</si>
  <si>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</si>
  <si>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</si>
  <si>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</si>
  <si>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</si>
  <si>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</si>
  <si>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</si>
  <si>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</si>
  <si>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</si>
  <si>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</si>
  <si>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</si>
  <si>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</si>
  <si>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</si>
  <si>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</si>
  <si>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</si>
  <si>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</si>
  <si>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</si>
  <si>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</si>
  <si>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</si>
  <si>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</si>
  <si>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</si>
  <si>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</si>
  <si>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</si>
  <si>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</si>
  <si>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</si>
  <si>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</si>
  <si>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</si>
  <si>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</si>
  <si>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</si>
  <si>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</si>
  <si>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</si>
  <si>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</si>
  <si>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</si>
  <si>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</si>
  <si>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</si>
  <si>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</si>
  <si>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</si>
  <si>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</si>
  <si>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</si>
  <si>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</si>
  <si>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</si>
  <si>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</si>
  <si>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</si>
  <si>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</si>
  <si>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</si>
  <si>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</si>
  <si>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</si>
  <si>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</si>
  <si>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</si>
  <si>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</si>
  <si>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</si>
  <si>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</si>
  <si>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</si>
  <si>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</si>
  <si>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</si>
  <si>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</si>
  <si>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</si>
  <si>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</si>
  <si>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</si>
  <si>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</si>
  <si>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</si>
  <si>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</si>
  <si>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</si>
  <si>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</si>
  <si>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</si>
  <si>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</si>
  <si>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</si>
  <si>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</si>
  <si>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</si>
  <si>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</si>
  <si>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</si>
  <si>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</si>
  <si>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</si>
  <si>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</si>
  <si>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</si>
  <si>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</si>
  <si>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</si>
  <si>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</si>
  <si>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</si>
  <si>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</si>
  <si>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</si>
  <si>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</si>
  <si>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</si>
  <si>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</si>
  <si>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</si>
  <si>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</si>
  <si>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</si>
  <si>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</si>
  <si>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</si>
  <si>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</si>
  <si>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</si>
  <si>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</si>
  <si>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</si>
  <si>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</si>
  <si>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</si>
  <si>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</si>
  <si>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</si>
  <si>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</si>
  <si>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</si>
  <si>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</si>
  <si>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</si>
  <si>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</si>
  <si>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</si>
  <si>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</si>
  <si>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</si>
  <si>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</si>
  <si>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</si>
  <si>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</si>
  <si>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</si>
  <si>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</si>
  <si>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</si>
  <si>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</si>
  <si>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</si>
  <si>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</si>
  <si>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</si>
  <si>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</si>
  <si>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</si>
  <si>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</si>
  <si>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</si>
  <si>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</si>
  <si>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</si>
  <si>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</si>
  <si>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</si>
  <si>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</si>
  <si>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</si>
  <si>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</si>
  <si>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</si>
  <si>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</si>
  <si>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</si>
  <si>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</si>
  <si>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</si>
  <si>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</si>
  <si>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</si>
  <si>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</si>
  <si>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</si>
  <si>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</si>
  <si>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</si>
  <si>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</si>
  <si>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</si>
  <si>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</si>
  <si>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</si>
  <si>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</si>
  <si>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</si>
  <si>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</si>
  <si>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</si>
  <si>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</si>
  <si>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</si>
  <si>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</si>
  <si>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</si>
  <si>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</si>
  <si>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</si>
  <si>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</si>
  <si>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</si>
  <si>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</si>
  <si>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</si>
  <si>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</si>
  <si>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</si>
  <si>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</si>
  <si>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</si>
  <si>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</si>
  <si>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</si>
  <si>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</si>
  <si>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</si>
  <si>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</si>
  <si>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</si>
  <si>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</si>
  <si>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</si>
  <si>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</si>
  <si>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</si>
  <si>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</si>
  <si>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</si>
  <si>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</si>
  <si>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</si>
  <si>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</si>
  <si>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</si>
  <si>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</si>
  <si>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</si>
  <si>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</si>
  <si>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</si>
  <si>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</si>
  <si>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</si>
  <si>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</si>
  <si>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</si>
  <si>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</si>
  <si>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</si>
  <si>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</si>
  <si>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</si>
  <si>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</si>
  <si>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</si>
  <si>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</si>
  <si>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</si>
  <si>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</si>
  <si>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</si>
  <si>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</si>
  <si>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</si>
  <si>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</si>
  <si>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</si>
  <si>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</si>
  <si>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</si>
  <si>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</si>
  <si>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</si>
  <si>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</si>
  <si>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</si>
  <si>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</si>
  <si>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</si>
  <si>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</si>
  <si>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</si>
  <si>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</si>
  <si>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</si>
  <si>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</si>
  <si>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</si>
  <si>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</si>
  <si>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</si>
  <si>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</si>
  <si>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</si>
  <si>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</si>
  <si>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</si>
  <si>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</si>
  <si>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</si>
  <si>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</si>
  <si>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</si>
  <si>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</si>
  <si>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</si>
  <si>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</si>
  <si>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</si>
  <si>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</si>
  <si>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</si>
  <si>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</si>
  <si>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</si>
  <si>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</si>
  <si>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</si>
  <si>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</si>
  <si>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</si>
  <si>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</si>
  <si>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</si>
  <si>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</si>
  <si>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</si>
  <si>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</si>
  <si>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</si>
  <si>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</si>
  <si>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</si>
  <si>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</si>
  <si>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</si>
  <si>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</si>
  <si>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</si>
  <si>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</si>
  <si>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</si>
  <si>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</si>
  <si>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</si>
  <si>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</si>
  <si>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</si>
  <si>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</si>
  <si>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</si>
  <si>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</si>
  <si>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</si>
  <si>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</si>
  <si>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</si>
  <si>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</si>
  <si>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</si>
  <si>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</si>
  <si>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</si>
  <si>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</si>
  <si>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</si>
  <si>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</si>
  <si>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</si>
  <si>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</si>
  <si>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</si>
  <si>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</si>
  <si>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</si>
  <si>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</si>
  <si>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</si>
  <si>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</si>
  <si>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</si>
  <si>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</si>
  <si>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</si>
  <si>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</si>
  <si>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</si>
  <si>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</si>
  <si>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</si>
  <si>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</si>
  <si>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</si>
  <si>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</si>
  <si>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</si>
  <si>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</si>
  <si>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</si>
  <si>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</si>
  <si>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</si>
  <si>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</si>
  <si>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</si>
  <si>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</si>
  <si>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</si>
  <si>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</si>
  <si>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</si>
  <si>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</si>
  <si>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</si>
  <si>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</si>
  <si>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</si>
  <si>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</si>
  <si>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</si>
  <si>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</si>
  <si>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</si>
  <si>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</si>
  <si>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</si>
  <si>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</si>
  <si>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</si>
  <si>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</si>
  <si>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</si>
  <si>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</si>
  <si>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</si>
  <si>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</si>
  <si>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</si>
  <si>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</si>
  <si>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</si>
  <si>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</si>
  <si>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</si>
  <si>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</si>
  <si>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</si>
  <si>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</si>
  <si>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</si>
  <si>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</si>
  <si>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</si>
  <si>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</si>
  <si>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</si>
  <si>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</si>
  <si>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</si>
  <si>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</si>
  <si>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</si>
  <si>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</si>
  <si>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</si>
  <si>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</si>
  <si>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</si>
  <si>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</si>
  <si>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</si>
  <si>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</si>
  <si>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</si>
  <si>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</si>
  <si>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</si>
  <si>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</si>
  <si>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</si>
  <si>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</si>
  <si>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</si>
  <si>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</si>
  <si>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</si>
  <si>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</si>
  <si>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</si>
  <si>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</si>
  <si>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</si>
  <si>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</si>
  <si>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</si>
  <si>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</si>
  <si>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</si>
  <si>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</si>
  <si>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</si>
  <si>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</si>
  <si>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</si>
  <si>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</si>
  <si>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</si>
  <si>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</si>
  <si>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</si>
  <si>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</si>
  <si>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</si>
  <si>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</si>
  <si>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</si>
  <si>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</si>
  <si>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</si>
  <si>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</si>
  <si>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</si>
  <si>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</si>
  <si>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</si>
  <si>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</si>
  <si>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</si>
  <si>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</si>
  <si>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</si>
  <si>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</si>
  <si>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</si>
  <si>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</si>
  <si>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</si>
  <si>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</si>
  <si>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</si>
  <si>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</si>
  <si>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</si>
  <si>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</si>
  <si>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</si>
  <si>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</si>
  <si>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</si>
  <si>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</si>
  <si>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</si>
  <si>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</si>
  <si>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</si>
  <si>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</si>
  <si>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</si>
  <si>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</si>
  <si>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</si>
  <si>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</si>
  <si>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</si>
  <si>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</si>
  <si>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</si>
  <si>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</si>
  <si>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</si>
  <si>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</si>
  <si>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</si>
  <si>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</si>
  <si>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</si>
  <si>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</si>
  <si>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</si>
  <si>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</si>
  <si>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</si>
  <si>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</si>
  <si>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</si>
  <si>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</si>
  <si>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</si>
  <si>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</si>
  <si>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</si>
  <si>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</si>
  <si>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</si>
  <si>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</si>
  <si>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</si>
  <si>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</si>
  <si>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</si>
  <si>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</si>
  <si>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</si>
  <si>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</si>
  <si>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</si>
  <si>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</si>
  <si>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</si>
  <si>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</si>
  <si>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</si>
  <si>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</si>
  <si>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</si>
  <si>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</si>
  <si>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</si>
  <si>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</si>
  <si>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</si>
  <si>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</si>
  <si>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</si>
  <si>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</si>
  <si>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</si>
  <si>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</si>
  <si>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</si>
  <si>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</si>
  <si>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</si>
  <si>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</si>
  <si>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</si>
  <si>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</si>
  <si>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</si>
  <si>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</si>
  <si>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</si>
  <si>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</si>
  <si>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</si>
  <si>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</si>
  <si>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</si>
  <si>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</si>
  <si>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</si>
  <si>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</si>
  <si>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</si>
  <si>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</si>
  <si>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</si>
  <si>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</si>
  <si>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</si>
  <si>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</si>
  <si>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</si>
  <si>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</si>
  <si>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</si>
  <si>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</si>
  <si>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</si>
  <si>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</si>
  <si>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</si>
  <si>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</si>
  <si>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</si>
  <si>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</si>
  <si>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</si>
  <si>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</si>
  <si>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</si>
  <si>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</si>
  <si>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</si>
  <si>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</si>
  <si>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</si>
  <si>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</si>
  <si>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</si>
  <si>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</si>
  <si>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</si>
  <si>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</si>
  <si>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</si>
  <si>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</si>
  <si>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</si>
  <si>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</si>
  <si>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</si>
  <si>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</si>
  <si>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</si>
  <si>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</si>
  <si>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</si>
  <si>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</si>
  <si>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</si>
  <si>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</si>
  <si>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</si>
  <si>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</si>
  <si>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</si>
  <si>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</si>
  <si>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</si>
  <si>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</si>
  <si>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</si>
  <si>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</si>
  <si>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</si>
  <si>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</si>
  <si>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</si>
  <si>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</si>
  <si>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</si>
  <si>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</si>
  <si>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</si>
  <si>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</si>
  <si>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</si>
  <si>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</si>
  <si>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</si>
  <si>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</si>
  <si>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</si>
  <si>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</si>
  <si>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</si>
  <si>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</si>
  <si>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</si>
  <si>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</si>
  <si>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</si>
  <si>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</si>
  <si>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</si>
  <si>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</si>
  <si>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</si>
  <si>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</si>
  <si>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</si>
  <si>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</si>
  <si>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</si>
  <si>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</si>
  <si>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</si>
  <si>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</si>
  <si>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</si>
  <si>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</si>
  <si>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</si>
  <si>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</si>
  <si>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</si>
  <si>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</si>
  <si>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</si>
  <si>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</si>
  <si>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</si>
  <si>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</si>
  <si>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</si>
  <si>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</si>
  <si>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</si>
  <si>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</si>
  <si>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</si>
  <si>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</si>
  <si>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</si>
  <si>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</si>
  <si>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</si>
  <si>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</si>
  <si>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</si>
  <si>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</si>
  <si>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</si>
  <si>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</si>
  <si>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</si>
  <si>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</si>
  <si>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</si>
  <si>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</si>
  <si>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</si>
  <si>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</si>
  <si>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</si>
  <si>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</si>
  <si>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</si>
  <si>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</si>
  <si>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</si>
  <si>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</si>
  <si>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</si>
  <si>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</si>
  <si>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</si>
  <si>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</si>
  <si>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</si>
  <si>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</si>
  <si>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</si>
  <si>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</si>
  <si>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</si>
  <si>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</si>
  <si>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</si>
  <si>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</si>
  <si>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</si>
  <si>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</si>
  <si>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</si>
  <si>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</si>
  <si>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</si>
  <si>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</si>
  <si>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</si>
  <si>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</si>
  <si>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</si>
  <si>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</si>
  <si>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</si>
  <si>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</si>
  <si>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</si>
  <si>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</si>
  <si>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</si>
  <si>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</si>
  <si>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</si>
  <si>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</si>
  <si>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</si>
  <si>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</si>
  <si>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</si>
  <si>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</si>
  <si>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</si>
  <si>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</si>
  <si>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</si>
  <si>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</si>
  <si>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</si>
  <si>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</si>
  <si>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</si>
  <si>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</si>
  <si>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</si>
  <si>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</si>
  <si>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</si>
  <si>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</si>
  <si>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</si>
  <si>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</si>
  <si>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</si>
  <si>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</si>
  <si>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</si>
  <si>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</si>
  <si>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</si>
  <si>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</si>
  <si>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</si>
  <si>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</si>
  <si>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</si>
  <si>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</si>
  <si>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</si>
  <si>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</si>
  <si>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</si>
  <si>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</si>
  <si>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</si>
  <si>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</si>
  <si>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</si>
  <si>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</si>
  <si>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</si>
  <si>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</si>
  <si>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</si>
  <si>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</si>
  <si>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</si>
  <si>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</si>
  <si>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</si>
  <si>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</si>
  <si>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</si>
  <si>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</si>
  <si>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</si>
  <si>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</si>
  <si>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</si>
  <si>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</si>
  <si>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</si>
  <si>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</si>
  <si>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</si>
  <si>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</si>
  <si>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</si>
  <si>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</si>
  <si>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</si>
  <si>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</si>
  <si>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</si>
  <si>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</si>
  <si>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</si>
  <si>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</si>
  <si>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</si>
  <si>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</si>
  <si>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</si>
  <si>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</si>
  <si>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</si>
  <si>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</si>
  <si>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</si>
  <si>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</si>
  <si>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</si>
  <si>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</si>
  <si>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</si>
  <si>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</si>
  <si>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</si>
  <si>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</si>
  <si>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</si>
  <si>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</si>
  <si>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</si>
  <si>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</si>
  <si>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</si>
  <si>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</si>
  <si>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</si>
  <si>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</si>
  <si>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</si>
  <si>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</si>
  <si>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</si>
  <si>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</si>
  <si>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</si>
  <si>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</si>
  <si>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</si>
  <si>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</si>
  <si>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</si>
  <si>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</si>
  <si>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</si>
  <si>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</si>
  <si>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</si>
  <si>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</si>
  <si>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</si>
  <si>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</si>
  <si>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</si>
  <si>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</si>
  <si>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</si>
  <si>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</si>
  <si>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</si>
  <si>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</si>
  <si>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</si>
  <si>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</si>
  <si>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</si>
  <si>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</si>
  <si>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</si>
  <si>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</si>
  <si>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</si>
  <si>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</si>
  <si>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</si>
  <si>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</si>
  <si>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</si>
  <si>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</si>
  <si>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</si>
  <si>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</si>
  <si>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</si>
  <si>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</si>
  <si>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</si>
  <si>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</si>
  <si>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</si>
  <si>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</si>
  <si>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</si>
  <si>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</si>
  <si>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</si>
  <si>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</si>
  <si>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</si>
  <si>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</si>
  <si>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</si>
  <si>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</si>
  <si>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</si>
  <si>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</si>
  <si>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</si>
  <si>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</si>
  <si>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</si>
  <si>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</si>
  <si>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</si>
  <si>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</si>
  <si>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</si>
  <si>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</si>
  <si>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</si>
  <si>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</si>
  <si>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</si>
  <si>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</si>
  <si>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</si>
  <si>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</si>
  <si>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</si>
  <si>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</si>
  <si>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</si>
  <si>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</si>
  <si>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</si>
  <si>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</si>
  <si>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</si>
  <si>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</si>
  <si>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</si>
  <si>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</si>
  <si>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</si>
  <si>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</si>
  <si>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</si>
  <si>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</si>
  <si>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</si>
  <si>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</si>
  <si>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</si>
  <si>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</si>
  <si>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</si>
  <si>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</si>
  <si>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</si>
  <si>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</si>
  <si>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</si>
  <si>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</si>
  <si>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</si>
  <si>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</si>
  <si>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</si>
  <si>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</si>
  <si>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</si>
  <si>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</si>
  <si>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</si>
  <si>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</si>
  <si>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</si>
  <si>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</si>
  <si>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</si>
  <si>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</si>
  <si>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</si>
  <si>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</si>
  <si>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</si>
  <si>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</si>
  <si>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</si>
  <si>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</si>
  <si>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</si>
  <si>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</si>
  <si>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</si>
  <si>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</si>
  <si>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</si>
  <si>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</si>
  <si>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</si>
  <si>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</si>
  <si>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</si>
  <si>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</si>
  <si>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</si>
  <si>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</si>
  <si>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</si>
  <si>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</si>
  <si>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</si>
  <si>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</si>
  <si>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</si>
  <si>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</si>
  <si>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</si>
  <si>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</si>
  <si>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</si>
  <si>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</si>
  <si>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</si>
  <si>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</si>
  <si>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</si>
  <si>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</si>
  <si>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</si>
  <si>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</si>
  <si>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</si>
  <si>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</si>
  <si>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</si>
  <si>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</si>
  <si>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</si>
  <si>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</si>
  <si>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</si>
  <si>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</si>
  <si>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</si>
  <si>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</si>
  <si>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</si>
  <si>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</si>
  <si>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</si>
  <si>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</si>
  <si>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</si>
  <si>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</si>
  <si>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</si>
  <si>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</si>
  <si>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</si>
  <si>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</si>
  <si>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</si>
  <si>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</si>
  <si>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</si>
  <si>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</si>
  <si>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</si>
  <si>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</si>
  <si>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</si>
  <si>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</si>
  <si>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</si>
  <si>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</si>
  <si>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</si>
  <si>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</si>
  <si>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</si>
  <si>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</si>
  <si>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</si>
  <si>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</si>
  <si>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</si>
  <si>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</si>
  <si>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</si>
  <si>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</si>
  <si>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</si>
  <si>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</si>
  <si>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</si>
  <si>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</si>
  <si>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</si>
  <si>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</si>
  <si>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</si>
  <si>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</si>
  <si>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</si>
  <si>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</si>
  <si>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</si>
  <si>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</si>
  <si>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</si>
  <si>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</si>
  <si>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</si>
  <si>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</si>
  <si>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</si>
  <si>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</si>
  <si>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</si>
  <si>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</si>
  <si>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</si>
  <si>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</si>
  <si>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</si>
  <si>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</si>
  <si>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</si>
  <si>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</si>
  <si>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</si>
  <si>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</si>
  <si>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</si>
  <si>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Measures for Adjusting Transport Fuel Prices and Using Tax Revenues to Promote the Transition to Zero-Emission Vehicles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</si>
  <si>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</si>
  <si>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</si>
  <si>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</si>
  <si>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</si>
  <si>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</si>
  <si>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</si>
  <si>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</si>
  <si>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</si>
  <si>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</si>
  <si>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</si>
  <si>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</si>
  <si>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</si>
  <si>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</si>
  <si>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</si>
  <si>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</si>
  <si>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</si>
  <si>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</si>
  <si>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</si>
  <si>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</si>
  <si>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</si>
  <si>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</si>
  <si>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</si>
  <si>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</si>
  <si>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</si>
  <si>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</si>
  <si>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</si>
  <si>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</si>
  <si>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</si>
  <si>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</si>
  <si>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</si>
  <si>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</si>
  <si>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</si>
  <si>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</si>
  <si>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</si>
  <si>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</si>
  <si>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</si>
  <si>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</si>
  <si>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</si>
  <si>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</si>
  <si>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</si>
  <si>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</si>
  <si>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</si>
  <si>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</si>
  <si>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</si>
  <si>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</si>
  <si>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</si>
  <si>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</si>
  <si>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</si>
  <si>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</si>
  <si>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</si>
  <si>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</si>
  <si>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</si>
  <si>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</si>
  <si>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</si>
  <si>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</si>
  <si>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</si>
  <si>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</si>
  <si>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</si>
  <si>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</si>
  <si>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</si>
  <si>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</si>
  <si>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</si>
  <si>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</si>
  <si>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</si>
  <si>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</si>
  <si>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</si>
  <si>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</si>
  <si>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</si>
  <si>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</si>
  <si>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</si>
  <si>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</si>
  <si>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</si>
  <si>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</si>
  <si>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</si>
  <si>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</si>
  <si>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</si>
  <si>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</si>
  <si>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</si>
  <si>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</si>
  <si>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</si>
  <si>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</si>
  <si>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</si>
  <si>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</si>
  <si>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</si>
  <si>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</si>
  <si>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</si>
  <si>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</si>
  <si>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</si>
  <si>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</si>
  <si>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</si>
  <si>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</si>
  <si>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</si>
  <si>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</si>
  <si>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</si>
  <si>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</si>
  <si>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</si>
  <si>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</si>
  <si>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</si>
  <si>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</si>
  <si>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</si>
  <si>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</si>
  <si>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</si>
  <si>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</si>
  <si>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</si>
  <si>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</si>
  <si>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</si>
  <si>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</si>
  <si>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</si>
  <si>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</si>
  <si>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</si>
  <si>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</si>
  <si>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</si>
  <si>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</si>
  <si>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</si>
  <si>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</si>
  <si>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</si>
  <si>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</si>
  <si>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</si>
  <si>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</si>
  <si>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</si>
  <si>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</si>
  <si>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</si>
  <si>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</si>
  <si>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</si>
  <si>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</si>
  <si>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</si>
  <si>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</si>
  <si>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</si>
  <si>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</si>
  <si>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</si>
  <si>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</si>
  <si>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</si>
  <si>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</si>
  <si>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</si>
  <si>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</si>
  <si>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</si>
  <si>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</si>
  <si>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</si>
  <si>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</si>
  <si>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</si>
  <si>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</si>
  <si>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</si>
  <si>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</si>
  <si>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</si>
  <si>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</si>
  <si>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</si>
  <si>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</si>
  <si>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</si>
  <si>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</si>
  <si>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</si>
  <si>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</si>
  <si>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</si>
  <si>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</si>
  <si>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</si>
  <si>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</si>
  <si>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</si>
  <si>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</si>
  <si>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</si>
  <si>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</si>
  <si>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</si>
  <si>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</si>
  <si>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</si>
  <si>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</si>
  <si>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</si>
  <si>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</si>
  <si>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</si>
  <si>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</si>
  <si>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</si>
  <si>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</si>
  <si>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</si>
  <si>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</si>
  <si>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</si>
  <si>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</si>
  <si>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</si>
  <si>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</si>
  <si>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</si>
  <si>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</si>
  <si>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</si>
  <si>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</si>
  <si>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</si>
  <si>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</si>
  <si>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</si>
  <si>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</si>
  <si>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</si>
  <si>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</si>
  <si>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</si>
  <si>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</si>
  <si>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</si>
  <si>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</si>
  <si>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</si>
  <si>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</si>
  <si>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</si>
  <si>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</si>
  <si>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</si>
  <si>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</si>
  <si>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</si>
  <si>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</si>
  <si>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</si>
  <si>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</si>
  <si>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</si>
  <si>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</si>
  <si>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</si>
  <si>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</si>
  <si>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</si>
  <si>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</si>
  <si>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</si>
  <si>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</si>
  <si>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</si>
  <si>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</si>
  <si>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</si>
  <si>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</si>
  <si>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</si>
  <si>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</si>
  <si>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</si>
  <si>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</si>
  <si>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</si>
  <si>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</si>
  <si>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</si>
  <si>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</si>
  <si>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</si>
  <si>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</si>
  <si>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</si>
  <si>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</si>
  <si>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</si>
  <si>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</si>
  <si>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</si>
  <si>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</si>
  <si>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</si>
  <si>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</si>
  <si>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</si>
  <si>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</si>
  <si>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</si>
  <si>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</si>
  <si>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</si>
  <si>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</si>
  <si>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</si>
  <si>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</si>
  <si>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</si>
  <si>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</si>
  <si>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</si>
  <si>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</si>
  <si>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</si>
  <si>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</si>
  <si>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</si>
  <si>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</si>
  <si>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</si>
  <si>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</si>
  <si>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</si>
  <si>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</si>
  <si>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</si>
  <si>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</si>
  <si>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</si>
  <si>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</si>
  <si>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</si>
  <si>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</si>
  <si>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</si>
  <si>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</si>
  <si>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</si>
  <si>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</si>
  <si>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</si>
  <si>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</si>
  <si>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</si>
  <si>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</si>
  <si>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</si>
  <si>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</si>
  <si>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</si>
  <si>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</si>
  <si>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</si>
  <si>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</si>
  <si>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</si>
  <si>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</si>
  <si>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</si>
  <si>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</si>
  <si>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</si>
  <si>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</si>
  <si>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</si>
  <si>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</si>
  <si>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</si>
  <si>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</si>
  <si>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</si>
  <si>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</si>
  <si>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</si>
  <si>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</si>
  <si>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</si>
  <si>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</si>
  <si>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</si>
  <si>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</si>
  <si>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</si>
  <si>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</si>
  <si>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</si>
  <si>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</si>
  <si>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</si>
  <si>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</si>
  <si>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</si>
  <si>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</si>
  <si>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</si>
  <si>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</si>
  <si>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</si>
  <si>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</si>
  <si>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</si>
  <si>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</si>
  <si>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</si>
  <si>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</si>
  <si>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</si>
  <si>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</si>
  <si>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</si>
  <si>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</si>
  <si>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</si>
  <si>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</si>
  <si>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</si>
  <si>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</si>
  <si>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</si>
  <si>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</si>
  <si>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</si>
  <si>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</si>
  <si>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</si>
  <si>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</si>
  <si>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</si>
  <si>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</si>
  <si>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</si>
  <si>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</si>
  <si>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</si>
  <si>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</si>
  <si>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</si>
  <si>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</si>
  <si>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</si>
  <si>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</si>
  <si>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</si>
  <si>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</si>
  <si>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</si>
  <si>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</si>
  <si>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</si>
  <si>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</si>
  <si>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</si>
  <si>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</si>
  <si>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</si>
  <si>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</si>
  <si>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</si>
  <si>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</si>
  <si>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</si>
  <si>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</si>
  <si>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</si>
  <si>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</si>
  <si>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</si>
  <si>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</si>
  <si>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</si>
  <si>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</si>
  <si>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</si>
  <si>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</si>
  <si>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</si>
  <si>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</si>
  <si>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</si>
  <si>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</si>
  <si>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</si>
  <si>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</si>
  <si>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</si>
  <si>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</si>
  <si>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</si>
  <si>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</si>
  <si>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</si>
  <si>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</si>
  <si>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</si>
  <si>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</si>
  <si>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</si>
  <si>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</si>
  <si>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</si>
  <si>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</si>
  <si>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</si>
  <si>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</si>
  <si>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</si>
  <si>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</si>
  <si>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</si>
  <si>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</si>
  <si>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</si>
  <si>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</si>
  <si>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</si>
  <si>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</si>
  <si>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</si>
  <si>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</si>
  <si>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</si>
  <si>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</si>
  <si>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</si>
  <si>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</si>
  <si>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</si>
  <si>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</si>
  <si>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</si>
  <si>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</si>
  <si>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</si>
  <si>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</si>
  <si>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</si>
  <si>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</si>
  <si>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</si>
  <si>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</si>
  <si>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</si>
  <si>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</si>
  <si>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</si>
  <si>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</si>
  <si>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</si>
  <si>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</si>
  <si>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</si>
  <si>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</si>
  <si>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</si>
  <si>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</si>
  <si>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</si>
  <si>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</si>
  <si>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</si>
  <si>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</si>
  <si>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</si>
  <si>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</si>
  <si>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</si>
  <si>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</si>
  <si>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</si>
  <si>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</si>
  <si>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</si>
  <si>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</si>
  <si>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</si>
  <si>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</si>
  <si>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</si>
  <si>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</si>
  <si>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</si>
  <si>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</si>
  <si>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</si>
  <si>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</si>
  <si>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</si>
  <si>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</si>
  <si>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</si>
  <si>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</si>
  <si>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</si>
  <si>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</si>
  <si>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</si>
  <si>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</si>
  <si>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</si>
  <si>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</si>
  <si>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</si>
  <si>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</si>
  <si>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</si>
  <si>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</si>
  <si>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</si>
  <si>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</si>
  <si>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</si>
  <si>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</si>
  <si>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</si>
  <si>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</si>
  <si>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</si>
  <si>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</si>
  <si>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</si>
  <si>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</si>
  <si>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</si>
  <si>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</si>
  <si>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</si>
  <si>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</si>
  <si>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</si>
  <si>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</si>
  <si>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</si>
  <si>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</si>
  <si>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</si>
  <si>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</si>
  <si>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</si>
  <si>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</si>
  <si>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</si>
  <si>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</si>
  <si>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</si>
  <si>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</si>
  <si>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</si>
  <si>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</si>
  <si>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</si>
  <si>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</si>
  <si>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</si>
  <si>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</si>
  <si>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</si>
  <si>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</si>
  <si>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</si>
  <si>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</si>
  <si>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</si>
  <si>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</si>
  <si>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</si>
  <si>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</si>
  <si>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</si>
  <si>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</si>
  <si>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</si>
  <si>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</si>
  <si>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</si>
  <si>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</si>
  <si>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</si>
  <si>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</si>
  <si>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</si>
  <si>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</si>
  <si>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</si>
  <si>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</si>
  <si>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</si>
  <si>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</si>
  <si>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</si>
  <si>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</si>
  <si>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</si>
  <si>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</si>
  <si>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</si>
  <si>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</si>
  <si>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</si>
  <si>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</si>
  <si>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</si>
  <si>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</si>
  <si>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</si>
  <si>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</si>
  <si>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</si>
  <si>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</si>
  <si>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</si>
  <si>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</si>
  <si>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</si>
  <si>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</si>
  <si>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</si>
  <si>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</si>
  <si>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</si>
  <si>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</si>
  <si>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</si>
  <si>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</si>
  <si>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</si>
  <si>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</si>
  <si>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</si>
  <si>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</si>
  <si>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</si>
  <si>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</si>
  <si>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</si>
  <si>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</si>
  <si>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</si>
  <si>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</si>
  <si>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</si>
  <si>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</si>
  <si>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</si>
  <si>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</si>
  <si>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</si>
  <si>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</si>
  <si>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</si>
  <si>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</si>
  <si>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</si>
  <si>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</si>
  <si>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</si>
  <si>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</si>
  <si>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</si>
  <si>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</si>
  <si>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</si>
  <si>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</si>
  <si>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</si>
  <si>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</si>
  <si>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</si>
  <si>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</si>
  <si>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</si>
  <si>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</si>
  <si>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</si>
  <si>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</si>
  <si>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</si>
  <si>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</si>
  <si>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</si>
  <si>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</si>
  <si>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</si>
  <si>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</si>
  <si>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</si>
  <si>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</si>
  <si>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</si>
  <si>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</si>
  <si>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</si>
  <si>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</si>
  <si>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</si>
  <si>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</si>
  <si>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</si>
  <si>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</si>
  <si>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Eoclogy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</si>
  <si>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</si>
  <si>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</si>
  <si>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</si>
  <si>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</si>
  <si>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</si>
  <si>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</si>
  <si>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</si>
  <si>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</si>
  <si>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</si>
  <si>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</si>
  <si>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</si>
  <si>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</si>
  <si>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</si>
  <si>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</si>
  <si>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</si>
  <si>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</si>
  <si>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</si>
  <si>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</si>
  <si>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</si>
  <si>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</si>
  <si>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</si>
  <si>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</si>
  <si>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</si>
  <si>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National Sustainable Development Research Center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</si>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</sst>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zoomScaleNormal="100" workbookViewId="0">
      <pane ySplit="4" topLeftCell="A11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46" t="s">
        <v>1814</v>
      </c>
      <c r="C2" s="46"/>
      <c r="D2" s="46"/>
      <c r="E2" s="46"/>
      <c r="F2" s="46"/>
      <c r="G2" s="46"/>
      <c r="H2" s="46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Eoclogy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Using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1906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1908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1820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1822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1824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1826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>
      <c r="A259" s="18" t="s">
        <v>2228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2244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1827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1828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1829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1830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1831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1832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1834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1835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1837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1838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1840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1842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1844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1846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1848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1850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1852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1854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1856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1858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1859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1861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1863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1865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1869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1871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1873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1875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1877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1879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1881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1883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1885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1887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1892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1894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1895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1910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1911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1912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>
      <c r="A307" s="23" t="s">
        <v>1913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1914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1915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1916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1917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1918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1919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1920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1921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1922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1923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1925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1926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1927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>
      <c r="A321" s="23" t="s">
        <v>1928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1929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1931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>
      <c r="A324" s="23" t="s">
        <v>1932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>
      <c r="A325" s="23" t="s">
        <v>1933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1934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1937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1938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1939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1940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1941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1942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1943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1944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1946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>
      <c r="A336" s="23" t="s">
        <v>1947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1948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1949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1889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1897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1898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1899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1900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1903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1905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>
      <c r="A346" s="23" t="s">
        <v>1950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1951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1952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2128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2129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2130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2131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2135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2137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2139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2141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2142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2143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2144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2145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2146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2147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2148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2149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2150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2151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2152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2153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tabSelected="1" topLeftCell="A166" zoomScaleNormal="100" workbookViewId="0">
      <pane xSplit="8" topLeftCell="N1" activePane="topRight" state="frozen"/>
      <selection pane="topRight" activeCell="N179" sqref="N179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39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39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0" t="s">
        <v>1769</v>
      </c>
      <c r="O2" s="35" t="str">
        <f>IFERROR(VLOOKUP($G2,[1]DB2!$A:$B,2,0),"공동과책 확인")</f>
        <v>Lee, Soojae</v>
      </c>
      <c r="P2" s="35" t="s">
        <v>1614</v>
      </c>
      <c r="Q2" s="35" t="s">
        <v>2263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0" t="s">
        <v>1770</v>
      </c>
      <c r="O3" s="35" t="str">
        <f>IFERROR(VLOOKUP($G3,[1]DB2!$A:$B,2,0),"공동과책 확인")</f>
        <v>Lee, Soojae</v>
      </c>
      <c r="P3" s="35" t="s">
        <v>1614</v>
      </c>
      <c r="Q3" s="35" t="s">
        <v>2263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2342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0" t="s">
        <v>2318</v>
      </c>
      <c r="O4" s="35" t="str">
        <f>IFERROR(VLOOKUP($G4,[1]DB2!$A:$B,2,0),"공동과책 확인")</f>
        <v>Cho, Kongjang</v>
      </c>
      <c r="P4" s="35" t="s">
        <v>1622</v>
      </c>
      <c r="Q4" s="35" t="s">
        <v>2262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0" t="s">
        <v>1623</v>
      </c>
      <c r="O5" s="35" t="str">
        <f>IFERROR(VLOOKUP($G5,[1]DB2!$A:$B,2,0),"공동과책 확인")</f>
        <v>Son, Seungwoo</v>
      </c>
      <c r="P5" s="35" t="s">
        <v>2263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0" t="s">
        <v>1810</v>
      </c>
      <c r="O6" s="35" t="str">
        <f>IFERROR(VLOOKUP($G6,[1]DB2!$A:$B,2,0),"공동과책 확인")</f>
        <v>Cho, Hanna</v>
      </c>
      <c r="P6" s="35" t="s">
        <v>1619</v>
      </c>
      <c r="Q6" s="35" t="s">
        <v>2265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0" t="s">
        <v>2328</v>
      </c>
      <c r="O7" s="35" t="str">
        <f>IFERROR(VLOOKUP($G7,[1]DB2!$A:$B,2,0),"공동과책 확인")</f>
        <v>Choi, Yuyoung</v>
      </c>
      <c r="P7" s="35" t="s">
        <v>2264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0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2343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0" t="s">
        <v>2340</v>
      </c>
      <c r="O9" s="35" t="str">
        <f>IFERROR(VLOOKUP($G9,[1]DB2!$A:$B,2,0),"공동과책 확인")</f>
        <v>Son, Seungwoo</v>
      </c>
      <c r="P9" s="35" t="s">
        <v>2263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0" t="s">
        <v>1625</v>
      </c>
      <c r="O10" s="35" t="str">
        <f>IFERROR(VLOOKUP($G10,[1]DB2!$A:$B,2,0),"공동과책 확인")</f>
        <v>Lee, MoungJin</v>
      </c>
      <c r="P10" s="35" t="s">
        <v>2264</v>
      </c>
      <c r="Q10" s="35" t="s">
        <v>2263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0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2262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2344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0" t="s">
        <v>2311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1805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0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0" t="s">
        <v>2345</v>
      </c>
      <c r="O14" s="35" t="str">
        <f>IFERROR(VLOOKUP($G14,[1]DB2!$A:$B,2,0),"공동과책 확인")</f>
        <v>Kim, Yumi</v>
      </c>
      <c r="P14" s="35" t="s">
        <v>2264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2028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0" t="s">
        <v>2241</v>
      </c>
      <c r="O15" s="35" t="str">
        <f>IFERROR(VLOOKUP($G15,[1]DB2!$A:$B,2,0),"공동과책 확인")</f>
        <v>Park, Chang Sug</v>
      </c>
      <c r="P15" s="35" t="s">
        <v>2262</v>
      </c>
      <c r="Q15" s="35" t="s">
        <v>2263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0" t="s">
        <v>2346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0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2265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0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0" t="s">
        <v>1629</v>
      </c>
      <c r="O19" s="35" t="str">
        <f>IFERROR(VLOOKUP($G19,[1]DB2!$A:$B,2,0),"공동과책 확인")</f>
        <v>Son, Seungwoo</v>
      </c>
      <c r="P19" s="35" t="s">
        <v>2263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0" t="s">
        <v>1630</v>
      </c>
      <c r="O20" s="35" t="str">
        <f>IFERROR(VLOOKUP($G20,[1]DB2!$A:$B,2,0),"공동과책 확인")</f>
        <v>Myeong, Soojeong</v>
      </c>
      <c r="P20" s="35" t="s">
        <v>2265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0" t="s">
        <v>1749</v>
      </c>
      <c r="O21" s="35" t="str">
        <f>IFERROR(VLOOKUP($G21,[1]DB2!$A:$B,2,0),"공동과책 확인")</f>
        <v>Park, Chang Sug</v>
      </c>
      <c r="P21" s="35" t="s">
        <v>2264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0" t="s">
        <v>1751</v>
      </c>
      <c r="O22" s="35" t="str">
        <f>IFERROR(VLOOKUP($G22,[1]DB2!$A:$B,2,0),"공동과책 확인")</f>
        <v>Suh, Yang-won</v>
      </c>
      <c r="P22" s="35" t="s">
        <v>2262</v>
      </c>
      <c r="Q22" s="35" t="s">
        <v>2266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0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0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5" t="s">
        <v>2162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0" t="s">
        <v>1754</v>
      </c>
      <c r="O25" s="35" t="s">
        <v>2267</v>
      </c>
      <c r="P25" s="35" t="s">
        <v>1616</v>
      </c>
      <c r="Q25" s="35" t="s">
        <v>2262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0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0" t="s">
        <v>2319</v>
      </c>
      <c r="O27" s="35" t="str">
        <f>IFERROR(VLOOKUP($G27,[1]DB2!$A:$B,2,0),"공동과책 확인")</f>
        <v>Lee, Jae-hyuck</v>
      </c>
      <c r="P27" s="35" t="s">
        <v>2262</v>
      </c>
      <c r="Q27" s="35" t="s">
        <v>2265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1" t="s">
        <v>2018</v>
      </c>
      <c r="O28" s="35" t="str">
        <f>IFERROR(VLOOKUP($G28,[1]DB2!$A:$B,2,0),"공동과책 확인")</f>
        <v xml:space="preserve">Kim, Taehyun </v>
      </c>
      <c r="P28" s="35" t="s">
        <v>2263</v>
      </c>
      <c r="Q28" s="35" t="s">
        <v>2265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0" t="s">
        <v>1756</v>
      </c>
      <c r="O29" s="35" t="str">
        <f>IFERROR(VLOOKUP($G29,[1]DB2!$A:$B,2,0),"공동과책 확인")</f>
        <v>Jin, Daeyong</v>
      </c>
      <c r="P29" s="35" t="s">
        <v>2264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0" t="s">
        <v>1757</v>
      </c>
      <c r="O30" s="35" t="str">
        <f>IFERROR(VLOOKUP($G30,[1]DB2!$A:$B,2,0),"공동과책 확인")</f>
        <v>Park, Jun Hyun</v>
      </c>
      <c r="P30" s="35" t="s">
        <v>2265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0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2264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0" t="s">
        <v>1632</v>
      </c>
      <c r="O32" s="35" t="str">
        <f>IFERROR(VLOOKUP($G32,[1]DB2!$A:$B,2,0),"공동과책 확인")</f>
        <v>Kim, Sungjin</v>
      </c>
      <c r="P32" s="35" t="s">
        <v>2262</v>
      </c>
      <c r="Q32" s="35" t="s">
        <v>2264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0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0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2263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0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2347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0" t="s">
        <v>2329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0" t="s">
        <v>1636</v>
      </c>
      <c r="O37" s="35" t="str">
        <f>IFERROR(VLOOKUP($G37,[1]DB2!$A:$B,2,0),"공동과책 확인")</f>
        <v>Lee, Jeongeun</v>
      </c>
      <c r="P37" s="35" t="s">
        <v>2262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0" t="s">
        <v>1637</v>
      </c>
      <c r="O38" s="35" t="str">
        <f>IFERROR(VLOOKUP($G38,[1]DB2!$A:$B,2,0),"공동과책 확인")</f>
        <v>Park, Chang Sug</v>
      </c>
      <c r="P38" s="35" t="s">
        <v>2263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0" t="s">
        <v>1638</v>
      </c>
      <c r="O39" s="35" t="str">
        <f>IFERROR(VLOOKUP($G39,[1]DB2!$A:$B,2,0),"공동과책 확인")</f>
        <v>Son, Seungwoo</v>
      </c>
      <c r="P39" s="35" t="s">
        <v>2263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0" t="s">
        <v>2316</v>
      </c>
      <c r="O40" s="35" t="str">
        <f>IFERROR(VLOOKUP($G40,[1]DB2!$A:$B,2,0),"공동과책 확인")</f>
        <v>Lee, MoungJin</v>
      </c>
      <c r="P40" s="35" t="s">
        <v>1617</v>
      </c>
      <c r="Q40" s="35" t="s">
        <v>2264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2348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0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1" t="s">
        <v>2349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2265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0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0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1" t="s">
        <v>2350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2265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0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0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0" t="s">
        <v>2388</v>
      </c>
      <c r="O48" s="35" t="str">
        <f>IFERROR(VLOOKUP($G48,[1]DB2!$A:$B,2,0),"공동과책 확인")</f>
        <v>Park, Chang Sug</v>
      </c>
      <c r="P48" s="35" t="s">
        <v>2263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0" t="s">
        <v>1643</v>
      </c>
      <c r="O49" s="35" t="s">
        <v>2268</v>
      </c>
      <c r="P49" s="35" t="s">
        <v>2262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0" t="s">
        <v>2306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0" t="s">
        <v>1644</v>
      </c>
      <c r="O51" s="35" t="str">
        <f>IFERROR(VLOOKUP($G51,[1]DB2!$A:$B,2,0),"공동과책 확인")</f>
        <v>Kim, Hojeong</v>
      </c>
      <c r="P51" s="35" t="s">
        <v>1617</v>
      </c>
      <c r="Q51" s="35" t="s">
        <v>1800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0" t="s">
        <v>2351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2125</v>
      </c>
      <c r="J53" s="20">
        <v>15000000</v>
      </c>
      <c r="K53" s="21">
        <v>45597</v>
      </c>
      <c r="L53" s="21">
        <v>45777</v>
      </c>
      <c r="M53" s="19"/>
      <c r="N53" s="40" t="s">
        <v>2126</v>
      </c>
      <c r="O53" s="35" t="str">
        <f>IFERROR(VLOOKUP($G53,[1]DB2!$A:$B,2,0),"공동과책 확인")</f>
        <v xml:space="preserve">Ju, Munsol </v>
      </c>
      <c r="P53" s="35" t="s">
        <v>2162</v>
      </c>
      <c r="Q53" s="35" t="s">
        <v>2163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2123</v>
      </c>
      <c r="J54" s="20">
        <v>15000000</v>
      </c>
      <c r="K54" s="21">
        <v>45597</v>
      </c>
      <c r="L54" s="21">
        <v>45777</v>
      </c>
      <c r="M54" s="19"/>
      <c r="N54" s="40" t="s">
        <v>2127</v>
      </c>
      <c r="O54" s="35" t="str">
        <f>IFERROR(VLOOKUP($G54,[1]DB2!$A:$B,2,0),"공동과책 확인")</f>
        <v xml:space="preserve">Oh, Myoungjin </v>
      </c>
      <c r="P54" s="35" t="s">
        <v>1804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0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0" t="s">
        <v>1646</v>
      </c>
      <c r="O56" s="35" t="str">
        <f>IFERROR(VLOOKUP($G56,[1]DB2!$A:$B,2,0),"공동과책 확인")</f>
        <v>Choi, Hee-Sun</v>
      </c>
      <c r="P56" s="35" t="s">
        <v>2263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0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0" t="s">
        <v>2352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0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2265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0" t="s">
        <v>1650</v>
      </c>
      <c r="O60" s="35" t="str">
        <f>IFERROR(VLOOKUP($G60,[1]DB2!$A:$B,2,0),"공동과책 확인")</f>
        <v>Kim, Sungjin</v>
      </c>
      <c r="P60" s="35" t="s">
        <v>2262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0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2263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0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2264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0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0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2163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0" t="s">
        <v>1655</v>
      </c>
      <c r="O65" s="35" t="str">
        <f>IFERROR(VLOOKUP($G65,[1]DB2!$A:$B,2,0),"공동과책 확인")</f>
        <v>Chung, Woo Hyun</v>
      </c>
      <c r="P65" s="35" t="s">
        <v>2266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0" t="s">
        <v>2298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0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0" t="s">
        <v>2353</v>
      </c>
      <c r="O68" s="35" t="str">
        <f>IFERROR(VLOOKUP($G68,[1]DB2!$A:$B,2,0),"공동과책 확인")</f>
        <v>Cho, Hanna</v>
      </c>
      <c r="P68" s="35" t="s">
        <v>1619</v>
      </c>
      <c r="Q68" s="35" t="s">
        <v>2163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0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2265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0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0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0" t="s">
        <v>1660</v>
      </c>
      <c r="O72" s="35" t="str">
        <f>IFERROR(VLOOKUP($G72,[1]DB2!$A:$B,2,0),"공동과책 확인")</f>
        <v>Yoon, Jeongho</v>
      </c>
      <c r="P72" s="35" t="s">
        <v>2263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0" t="s">
        <v>2042</v>
      </c>
      <c r="O73" s="35" t="str">
        <f>IFERROR(VLOOKUP($G73,[1]DB2!$A:$B,2,0),"공동과책 확인")</f>
        <v>Chang, Hoon</v>
      </c>
      <c r="P73" s="35" t="s">
        <v>1619</v>
      </c>
      <c r="Q73" s="35" t="s">
        <v>2265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0" t="s">
        <v>2045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0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2262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2272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0" t="s">
        <v>2305</v>
      </c>
      <c r="O76" s="35" t="s">
        <v>2310</v>
      </c>
      <c r="P76" s="35" t="s">
        <v>2264</v>
      </c>
      <c r="Q76" s="35" t="s">
        <v>2262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0" t="s">
        <v>2047</v>
      </c>
      <c r="O77" s="35" t="str">
        <f>IFERROR(VLOOKUP($G77,[1]DB2!$A:$B,2,0),"공동과책 확인")</f>
        <v>Kim, Choong-ki</v>
      </c>
      <c r="P77" s="35" t="s">
        <v>1620</v>
      </c>
      <c r="Q77" s="35" t="s">
        <v>2264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2156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0" t="s">
        <v>2295</v>
      </c>
      <c r="O78" s="35" t="str">
        <f>IFERROR(VLOOKUP($G78,[1]DB2!$A:$B,2,0),"공동과책 확인")</f>
        <v>Song, Youngil</v>
      </c>
      <c r="P78" s="35" t="s">
        <v>1801</v>
      </c>
      <c r="Q78" s="35" t="s">
        <v>2264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0" t="s">
        <v>2049</v>
      </c>
      <c r="O79" s="35" t="str">
        <f>IFERROR(VLOOKUP($G79,[1]DB2!$A:$B,2,0),"공동과책 확인")</f>
        <v>Song, Youngil</v>
      </c>
      <c r="P79" s="35" t="s">
        <v>1619</v>
      </c>
      <c r="Q79" s="35" t="s">
        <v>2264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0" t="s">
        <v>2051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0" t="s">
        <v>2053</v>
      </c>
      <c r="O81" s="35" t="str">
        <f>IFERROR(VLOOKUP($G81,[1]DB2!$A:$B,2,0),"공동과책 확인")</f>
        <v>Chang, Hoon</v>
      </c>
      <c r="P81" s="35" t="s">
        <v>2262</v>
      </c>
      <c r="Q81" s="35" t="s">
        <v>2265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0" t="s">
        <v>2055</v>
      </c>
      <c r="O82" s="35" t="str">
        <f>IFERROR(VLOOKUP($G82,[1]DB2!$A:$B,2,0),"공동과책 확인")</f>
        <v>Jung, Huicheul</v>
      </c>
      <c r="P82" s="35" t="s">
        <v>1619</v>
      </c>
      <c r="Q82" s="35" t="s">
        <v>2264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2354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0" t="s">
        <v>2057</v>
      </c>
      <c r="O83" s="35" t="str">
        <f>IFERROR(VLOOKUP($G83,[1]DB2!$A:$B,2,0),"공동과책 확인")</f>
        <v xml:space="preserve">Jung, Dawoon </v>
      </c>
      <c r="P83" s="35" t="s">
        <v>1615</v>
      </c>
      <c r="Q83" s="35" t="s">
        <v>2266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0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0" t="s">
        <v>1663</v>
      </c>
      <c r="O85" s="35" t="str">
        <f>IFERROR(VLOOKUP($G85,[1]DB2!$A:$B,2,0),"공동과책 확인")</f>
        <v xml:space="preserve">Kim, Geunhan </v>
      </c>
      <c r="P85" s="35" t="s">
        <v>2263</v>
      </c>
      <c r="Q85" s="35" t="s">
        <v>2262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0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0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2264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0" t="s">
        <v>1666</v>
      </c>
      <c r="O88" s="35" t="str">
        <f>IFERROR(VLOOKUP($G88,[1]DB2!$A:$B,2,0),"공동과책 확인")</f>
        <v>Myeong, Soojeong</v>
      </c>
      <c r="P88" s="35" t="s">
        <v>2262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0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0" t="s">
        <v>1668</v>
      </c>
      <c r="O90" s="35" t="str">
        <f>IFERROR(VLOOKUP($G90,[1]DB2!$A:$B,2,0),"공동과책 확인")</f>
        <v>Lee, Seungmin</v>
      </c>
      <c r="P90" s="35" t="s">
        <v>2262</v>
      </c>
      <c r="Q90" s="35" t="s">
        <v>2264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0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0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0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0" t="s">
        <v>1677</v>
      </c>
      <c r="O94" s="35" t="str">
        <f>IFERROR(VLOOKUP($G94,[1]DB2!$A:$B,2,0),"공동과책 확인")</f>
        <v>Cho, Hanna</v>
      </c>
      <c r="P94" s="35" t="s">
        <v>2262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2293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0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1801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0" t="s">
        <v>1679</v>
      </c>
      <c r="O96" s="35" t="str">
        <f>IFERROR(VLOOKUP($G96,[1]DB2!$A:$B,2,0),"공동과책 확인")</f>
        <v>Myeong, Soojeong</v>
      </c>
      <c r="P96" s="35" t="s">
        <v>2262</v>
      </c>
      <c r="Q96" s="35" t="s">
        <v>1801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0" t="s">
        <v>2355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0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0" t="s">
        <v>2070</v>
      </c>
      <c r="O99" s="35" t="str">
        <f>IFERROR(VLOOKUP($G99,[1]DB2!$A:$B,2,0),"공동과책 확인")</f>
        <v>Hong, Hyunjung</v>
      </c>
      <c r="P99" s="35" t="s">
        <v>1800</v>
      </c>
      <c r="Q99" s="47" t="s">
        <v>2163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0" t="s">
        <v>1739</v>
      </c>
      <c r="O100" s="35" t="str">
        <f>IFERROR(VLOOKUP($G100,[1]DB2!$A:$B,2,0),"공동과책 확인")</f>
        <v>Lee, Jae-hyuck</v>
      </c>
      <c r="P100" s="35" t="s">
        <v>2262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1807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0" t="s">
        <v>2331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0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2263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1811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1" t="s">
        <v>2017</v>
      </c>
      <c r="O103" s="35" t="str">
        <f>IFERROR(VLOOKUP($G103,[1]DB2!$A:$B,2,0),"공동과책 확인")</f>
        <v>Kim, Hojeong</v>
      </c>
      <c r="P103" s="35" t="s">
        <v>1617</v>
      </c>
      <c r="Q103" s="35" t="s">
        <v>2263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0" t="s">
        <v>1816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0" t="s">
        <v>1817</v>
      </c>
      <c r="O105" s="35" t="str">
        <f>IFERROR(VLOOKUP($G105,[1]DB2!$A:$B,2,0),"공동과책 확인")</f>
        <v>Lee, Sangbum</v>
      </c>
      <c r="P105" s="35" t="s">
        <v>1618</v>
      </c>
      <c r="Q105" s="35" t="s">
        <v>2263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0" t="s">
        <v>1741</v>
      </c>
      <c r="O106" s="35" t="str">
        <f>IFERROR(VLOOKUP($G106,[1]DB2!$A:$B,2,0),"공동과책 확인")</f>
        <v>Chung, Woo Hyun</v>
      </c>
      <c r="P106" s="35" t="s">
        <v>2262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0" t="s">
        <v>1742</v>
      </c>
      <c r="O107" s="35" t="s">
        <v>2308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0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2262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1812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0" t="s">
        <v>1813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1808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1" t="s">
        <v>2016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0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2264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0" t="s">
        <v>1745</v>
      </c>
      <c r="O112" s="35" t="s">
        <v>2309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0" t="s">
        <v>1746</v>
      </c>
      <c r="O113" s="35" t="str">
        <f>IFERROR(VLOOKUP($G113,[1]DB2!$A:$B,2,0),"공동과책 확인")</f>
        <v>Kim, Sungjin</v>
      </c>
      <c r="P113" s="35" t="s">
        <v>2262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0" t="s">
        <v>2324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0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2263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0" t="s">
        <v>1764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2356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0" t="s">
        <v>1765</v>
      </c>
      <c r="O117" s="35" t="str">
        <f>IFERROR(VLOOKUP($G117,[1]DB2!$A:$B,2,0),"공동과책 확인")</f>
        <v>Kang, Taek Goo</v>
      </c>
      <c r="P117" s="35" t="s">
        <v>2262</v>
      </c>
      <c r="Q117" s="35" t="s">
        <v>2265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0" t="s">
        <v>2357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0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0" t="s">
        <v>1673</v>
      </c>
      <c r="O120" s="35" t="str">
        <f>IFERROR(VLOOKUP($G120,[1]DB2!$A:$B,2,0),"공동과책 확인")</f>
        <v>Kim, Sungjin</v>
      </c>
      <c r="P120" s="35" t="s">
        <v>2262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0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0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0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2163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0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2262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0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0" t="s">
        <v>2320</v>
      </c>
      <c r="O126" s="35" t="str">
        <f>IFERROR(VLOOKUP($G126,[1]DB2!$A:$B,2,0),"공동과책 확인")</f>
        <v>Choi, Yuyoung</v>
      </c>
      <c r="P126" s="35" t="s">
        <v>2264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0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0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0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0" t="s">
        <v>1686</v>
      </c>
      <c r="O130" s="35" t="str">
        <f>IFERROR(VLOOKUP($G130,[1]DB2!$A:$B,2,0),"공동과책 확인")</f>
        <v>Son, Seungwoo</v>
      </c>
      <c r="P130" s="35" t="s">
        <v>2263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0" t="s">
        <v>1684</v>
      </c>
      <c r="O131" s="35" t="str">
        <f>IFERROR(VLOOKUP($G131,[1]DB2!$A:$B,2,0),"공동과책 확인")</f>
        <v>Park, Taeho</v>
      </c>
      <c r="P131" s="35" t="s">
        <v>2163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0" t="s">
        <v>1685</v>
      </c>
      <c r="O132" s="35" t="str">
        <f>IFERROR(VLOOKUP($G132,[1]DB2!$A:$B,2,0),"공동과책 확인")</f>
        <v xml:space="preserve">Song, Jiyoon </v>
      </c>
      <c r="P132" s="35" t="s">
        <v>2263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2301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0" t="s">
        <v>2302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0" t="s">
        <v>1687</v>
      </c>
      <c r="O134" s="35" t="str">
        <f>IFERROR(VLOOKUP($G134,[1]DB2!$A:$B,2,0),"공동과책 확인")</f>
        <v>Lee, Sangbum</v>
      </c>
      <c r="P134" s="35" t="s">
        <v>2163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0" t="s">
        <v>2303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0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2263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0" t="s">
        <v>1688</v>
      </c>
      <c r="O137" s="35" t="str">
        <f>IFERROR(VLOOKUP($G137,[1]DB2!$A:$B,2,0),"공동과책 확인")</f>
        <v>Choi, Hyungsik</v>
      </c>
      <c r="P137" s="35" t="s">
        <v>2262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1" t="s">
        <v>2358</v>
      </c>
      <c r="O138" s="35" t="str">
        <f>IFERROR(VLOOKUP($G138,[1]DB2!$A:$B,2,0),"공동과책 확인")</f>
        <v xml:space="preserve">Koo, Kyung Ah </v>
      </c>
      <c r="P138" s="35" t="s">
        <v>1614</v>
      </c>
      <c r="Q138" s="35" t="s">
        <v>2265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1953</v>
      </c>
      <c r="J139" s="20">
        <v>80742060</v>
      </c>
      <c r="K139" s="21">
        <v>45735</v>
      </c>
      <c r="L139" s="21">
        <v>46099</v>
      </c>
      <c r="M139" s="19" t="s">
        <v>172</v>
      </c>
      <c r="N139" s="40" t="s">
        <v>2321</v>
      </c>
      <c r="O139" s="35" t="str">
        <f>IFERROR(VLOOKUP($G139,[1]DB2!$A:$B,2,0),"공동과책 확인")</f>
        <v>Lee, Sunmin</v>
      </c>
      <c r="P139" s="35" t="s">
        <v>1617</v>
      </c>
      <c r="Q139" s="35" t="s">
        <v>2264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0" t="s">
        <v>1696</v>
      </c>
      <c r="O140" s="35" t="str">
        <f>IFERROR(VLOOKUP($G140,[1]DB2!$A:$B,2,0),"공동과책 확인")</f>
        <v>Bae, Hyun-Joo</v>
      </c>
      <c r="P140" s="35" t="s">
        <v>2288</v>
      </c>
      <c r="Q140" s="35" t="s">
        <v>2264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0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2262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0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2264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0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2263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0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2264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0" t="s">
        <v>1698</v>
      </c>
      <c r="O145" s="35" t="str">
        <f>IFERROR(VLOOKUP($G145,[1]DB2!$A:$B,2,0),"공동과책 확인")</f>
        <v xml:space="preserve">Kim, Geunhan </v>
      </c>
      <c r="P145" s="35" t="s">
        <v>2263</v>
      </c>
      <c r="Q145" s="35" t="s">
        <v>2264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1" t="s">
        <v>2359</v>
      </c>
      <c r="O146" s="35" t="str">
        <f>IFERROR(VLOOKUP($G146,[1]DB2!$A:$B,2,0),"공동과책 확인")</f>
        <v xml:space="preserve">Koo, Kyung Ah </v>
      </c>
      <c r="P146" s="35" t="s">
        <v>1801</v>
      </c>
      <c r="Q146" s="35" t="s">
        <v>2290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0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0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0" t="s">
        <v>2297</v>
      </c>
      <c r="O149" s="35" t="str">
        <f>IFERROR(VLOOKUP($G149,[1]DB2!$A:$B,2,0),"공동과책 확인")</f>
        <v xml:space="preserve">Song, Jiyoon </v>
      </c>
      <c r="P149" s="35" t="s">
        <v>2263</v>
      </c>
      <c r="Q149" s="35" t="s">
        <v>2262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0" t="s">
        <v>2059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2086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0" t="s">
        <v>2087</v>
      </c>
      <c r="O151" s="35" t="str">
        <f>IFERROR(VLOOKUP($G151,[1]DB2!$A:$B,2,0),"공동과책 확인")</f>
        <v xml:space="preserve">Lee, Seungsoo </v>
      </c>
      <c r="P151" s="35" t="s">
        <v>2263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1955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0" t="s">
        <v>2020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1956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0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1957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0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2263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1958</v>
      </c>
      <c r="B155" s="18" t="s">
        <v>836</v>
      </c>
      <c r="C155" s="18" t="s">
        <v>933</v>
      </c>
      <c r="D155" s="19" t="s">
        <v>1806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0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1959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0" t="s">
        <v>1692</v>
      </c>
      <c r="O156" s="35" t="s">
        <v>2269</v>
      </c>
      <c r="P156" s="35" t="s">
        <v>2263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1960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0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1961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0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1962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0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1963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0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1964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0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1965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0" t="s">
        <v>2360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1966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0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1967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0" t="s">
        <v>2361</v>
      </c>
      <c r="O164" s="35" t="str">
        <f>IFERROR(VLOOKUP($G164,[1]DB2!$A:$B,2,0),"공동과책 확인")</f>
        <v>Hong, Hyunjung</v>
      </c>
      <c r="P164" s="35" t="s">
        <v>2362</v>
      </c>
      <c r="Q164" s="47" t="s">
        <v>2263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1968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0" t="s">
        <v>1702</v>
      </c>
      <c r="O165" s="35" t="str">
        <f>IFERROR(VLOOKUP($G165,[1]DB2!$A:$B,2,0),"공동과책 확인")</f>
        <v>Lee, Byungkwon</v>
      </c>
      <c r="P165" s="35" t="s">
        <v>2163</v>
      </c>
      <c r="Q165" s="35" t="s">
        <v>2264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1969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0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5" t="s">
        <v>2163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1970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1" t="s">
        <v>2363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1971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0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1972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0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1973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0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1974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1818</v>
      </c>
      <c r="H171" s="29" t="s">
        <v>208</v>
      </c>
      <c r="I171" s="29" t="s">
        <v>1954</v>
      </c>
      <c r="J171" s="33">
        <v>161000000</v>
      </c>
      <c r="K171" s="34">
        <v>45776</v>
      </c>
      <c r="L171" s="34">
        <v>46112</v>
      </c>
      <c r="M171" s="29" t="s">
        <v>47</v>
      </c>
      <c r="N171" s="40" t="s">
        <v>2124</v>
      </c>
      <c r="O171" s="35" t="s">
        <v>2270</v>
      </c>
      <c r="P171" s="35" t="s">
        <v>2263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1975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0" t="s">
        <v>1747</v>
      </c>
      <c r="O172" s="35" t="str">
        <f>IFERROR(VLOOKUP($G172,[1]DB2!$A:$B,2,0),"공동과책 확인")</f>
        <v>Choi, Kwanghun</v>
      </c>
      <c r="P172" s="35" t="s">
        <v>2264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1976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0" t="s">
        <v>1748</v>
      </c>
      <c r="O173" s="35" t="str">
        <f>IFERROR(VLOOKUP($G173,[1]DB2!$A:$B,2,0),"공동과책 확인")</f>
        <v>Park, Jun Hyun</v>
      </c>
      <c r="P173" s="35" t="s">
        <v>2265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1977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0" t="s">
        <v>2019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1978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0" t="s">
        <v>1761</v>
      </c>
      <c r="O175" s="35" t="str">
        <f>IFERROR(VLOOKUP($G175,[1]DB2!$A:$B,2,0),"공동과책 확인")</f>
        <v>Kim, Jongho</v>
      </c>
      <c r="P175" s="35" t="s">
        <v>2266</v>
      </c>
      <c r="Q175" s="47" t="s">
        <v>2264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1979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0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2262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1980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0" t="s">
        <v>1763</v>
      </c>
      <c r="O177" s="35" t="str">
        <f>IFERROR(VLOOKUP($G177,[1]DB2!$A:$B,2,0),"공동과책 확인")</f>
        <v xml:space="preserve">Song, Jiyoon </v>
      </c>
      <c r="P177" s="35" t="s">
        <v>2263</v>
      </c>
      <c r="Q177" s="35" t="s">
        <v>1801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1981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0" t="s">
        <v>2364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1982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2387</v>
      </c>
      <c r="J179" s="20">
        <v>40000000</v>
      </c>
      <c r="K179" s="21">
        <v>45778</v>
      </c>
      <c r="L179" s="21">
        <v>46142</v>
      </c>
      <c r="M179" s="19"/>
      <c r="N179" s="40" t="s">
        <v>2390</v>
      </c>
      <c r="O179" s="35" t="str">
        <f>IFERROR(VLOOKUP($G179,[1]DB2!$A:$B,2,0),"공동과책 확인")</f>
        <v>Kim, Choong-ki</v>
      </c>
      <c r="P179" s="35" t="s">
        <v>1620</v>
      </c>
      <c r="Q179" s="35" t="s">
        <v>2263</v>
      </c>
      <c r="R179" s="35" t="str">
        <f>IFERROR(VLOOKUP($I179,[1]DB2!$F$2:$I$58,2,0),"옛날 부서명 확인")</f>
        <v xml:space="preserve">Natural Environment Division </v>
      </c>
      <c r="S179" s="35" t="str">
        <f>IFERROR(VLOOKUP($I179,[1]DB2!$F$2:$I$58,4,0),"옛날 부서명 확인")</f>
        <v xml:space="preserve">Land and Environment Research Group </v>
      </c>
    </row>
    <row r="180" spans="1:19" ht="18" customHeight="1">
      <c r="A180" s="18" t="s">
        <v>1983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2385</v>
      </c>
      <c r="J180" s="20">
        <v>90909090</v>
      </c>
      <c r="K180" s="21">
        <v>45789</v>
      </c>
      <c r="L180" s="21">
        <v>46001</v>
      </c>
      <c r="M180" s="19" t="s">
        <v>436</v>
      </c>
      <c r="N180" s="40" t="s">
        <v>1709</v>
      </c>
      <c r="O180" s="35" t="str">
        <f>IFERROR(VLOOKUP($G180,[1]DB2!$A:$B,2,0),"공동과책 확인")</f>
        <v>Lee, Jeongho</v>
      </c>
      <c r="P180" s="35" t="s">
        <v>2263</v>
      </c>
      <c r="Q180" s="35"/>
      <c r="R180" s="35" t="str">
        <f>IFERROR(VLOOKUP($I180,'DB2'!$F$2:$I$58,2,0),"옛날 부서명 확인")</f>
        <v>National Sustainable Development Research Center</v>
      </c>
      <c r="S180" s="35" t="str">
        <f>IFERROR(VLOOKUP($I180,'DB2'!$F$2:$I$58,2,0),"옛날 부서명 확인")</f>
        <v>National Sustainable Development Research Center</v>
      </c>
    </row>
    <row r="181" spans="1:19" ht="18" customHeight="1">
      <c r="A181" s="18" t="s">
        <v>1984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0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1985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0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2265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1986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0" t="s">
        <v>1712</v>
      </c>
      <c r="O183" s="35" t="str">
        <f>IFERROR(VLOOKUP($G183,[1]DB2!$A:$B,2,0),"공동과책 확인")</f>
        <v>Son, Seungwoo</v>
      </c>
      <c r="P183" s="35" t="s">
        <v>2263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1987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0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1988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0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2265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1989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0" t="s">
        <v>1716</v>
      </c>
      <c r="O186" s="35" t="str">
        <f>IFERROR(VLOOKUP($G186,[1]DB2!$A:$B,2,0),"공동과책 확인")</f>
        <v>Son, Seungwoo</v>
      </c>
      <c r="P186" s="35" t="s">
        <v>2263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1990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0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2266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1991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0" t="s">
        <v>1717</v>
      </c>
      <c r="O188" s="35" t="str">
        <f>IFERROR(VLOOKUP($G188,[1]DB2!$A:$B,2,0),"공동과책 확인")</f>
        <v xml:space="preserve">Moon, Jongwoo </v>
      </c>
      <c r="P188" s="35" t="s">
        <v>2262</v>
      </c>
      <c r="Q188" s="35" t="s">
        <v>2265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1992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0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1993</v>
      </c>
      <c r="B190" s="18" t="s">
        <v>21</v>
      </c>
      <c r="C190" s="18" t="s">
        <v>633</v>
      </c>
      <c r="D190" s="19" t="s">
        <v>2273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1" t="s">
        <v>2365</v>
      </c>
      <c r="O190" s="35" t="str">
        <f>IFERROR(VLOOKUP($G190,[1]DB2!$A:$B,2,0),"공동과책 확인")</f>
        <v>Chung, Woo Hyun</v>
      </c>
      <c r="P190" s="35" t="s">
        <v>2266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1994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0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1995</v>
      </c>
      <c r="B192" s="18" t="s">
        <v>21</v>
      </c>
      <c r="C192" s="18" t="s">
        <v>648</v>
      </c>
      <c r="D192" s="19" t="s">
        <v>2274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0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1996</v>
      </c>
      <c r="B193" s="18" t="s">
        <v>727</v>
      </c>
      <c r="C193" s="18" t="s">
        <v>776</v>
      </c>
      <c r="D193" s="19" t="s">
        <v>2275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0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1800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1997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0" t="s">
        <v>2021</v>
      </c>
      <c r="O194" s="35" t="str">
        <f>IFERROR(VLOOKUP($G194,[1]DB2!$A:$B,2,0),"공동과책 확인")</f>
        <v>Choi, Yuyoung</v>
      </c>
      <c r="P194" s="35" t="s">
        <v>2264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1998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0" t="s">
        <v>1720</v>
      </c>
      <c r="O195" s="35" t="str">
        <f>IFERROR(VLOOKUP($G195,[1]DB2!$A:$B,2,0),"공동과책 확인")</f>
        <v>Hyun, Yunjung</v>
      </c>
      <c r="P195" s="35" t="s">
        <v>2263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1999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0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2000</v>
      </c>
      <c r="B197" s="18" t="s">
        <v>21</v>
      </c>
      <c r="C197" s="18" t="s">
        <v>666</v>
      </c>
      <c r="D197" s="19" t="s">
        <v>2366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0" t="s">
        <v>1727</v>
      </c>
      <c r="O197" s="35" t="str">
        <f>IFERROR(VLOOKUP($G197,[1]DB2!$A:$B,2,0),"공동과책 확인")</f>
        <v>Kang, Taek Goo</v>
      </c>
      <c r="P197" s="35" t="s">
        <v>2262</v>
      </c>
      <c r="Q197" s="35" t="s">
        <v>2265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2001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0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2002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0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2003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0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2004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0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2005</v>
      </c>
      <c r="B202" s="18" t="s">
        <v>953</v>
      </c>
      <c r="C202" s="18" t="s">
        <v>963</v>
      </c>
      <c r="D202" s="19" t="s">
        <v>2276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0" t="s">
        <v>1766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2006</v>
      </c>
      <c r="B203" s="18" t="s">
        <v>953</v>
      </c>
      <c r="C203" s="18" t="s">
        <v>964</v>
      </c>
      <c r="D203" s="19" t="s">
        <v>2277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0" t="s">
        <v>1767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2007</v>
      </c>
      <c r="B204" s="18" t="s">
        <v>953</v>
      </c>
      <c r="C204" s="18" t="s">
        <v>965</v>
      </c>
      <c r="D204" s="19" t="s">
        <v>2278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0" t="s">
        <v>1768</v>
      </c>
      <c r="O204" s="35" t="str">
        <f>IFERROR(VLOOKUP($G204,[1]DB2!$A:$B,2,0),"공동과책 확인")</f>
        <v>Kim, Dokyun</v>
      </c>
      <c r="P204" s="35" t="s">
        <v>1622</v>
      </c>
      <c r="Q204" s="35" t="s">
        <v>2262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2008</v>
      </c>
      <c r="B205" s="18" t="s">
        <v>21</v>
      </c>
      <c r="C205" s="18" t="s">
        <v>670</v>
      </c>
      <c r="D205" s="19" t="s">
        <v>2279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0" t="s">
        <v>1728</v>
      </c>
      <c r="O205" s="35" t="str">
        <f>IFERROR(VLOOKUP($G205,[1]DB2!$A:$B,2,0),"공동과책 확인")</f>
        <v>Lee, Jeongeun</v>
      </c>
      <c r="P205" s="35" t="s">
        <v>2262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2009</v>
      </c>
      <c r="B206" s="18" t="s">
        <v>21</v>
      </c>
      <c r="C206" s="18" t="s">
        <v>673</v>
      </c>
      <c r="D206" s="19" t="s">
        <v>2280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0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2010</v>
      </c>
      <c r="B207" s="18" t="s">
        <v>21</v>
      </c>
      <c r="C207" s="18" t="s">
        <v>672</v>
      </c>
      <c r="D207" s="19" t="s">
        <v>2281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0" t="s">
        <v>2330</v>
      </c>
      <c r="O207" s="35" t="str">
        <f>IFERROR(VLOOKUP($G207,[1]DB2!$A:$B,2,0),"공동과책 확인")</f>
        <v>Suh, Yang-won</v>
      </c>
      <c r="P207" s="35" t="s">
        <v>2162</v>
      </c>
      <c r="Q207" s="35" t="s">
        <v>2262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2011</v>
      </c>
      <c r="B208" s="18" t="s">
        <v>21</v>
      </c>
      <c r="C208" s="18" t="s">
        <v>675</v>
      </c>
      <c r="D208" s="19" t="s">
        <v>2282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0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2264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2012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1" t="s">
        <v>2367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2265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2013</v>
      </c>
      <c r="B210" s="18" t="s">
        <v>21</v>
      </c>
      <c r="C210" s="18" t="s">
        <v>678</v>
      </c>
      <c r="D210" s="19" t="s">
        <v>2283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0" t="s">
        <v>2368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2014</v>
      </c>
      <c r="B211" s="18" t="s">
        <v>21</v>
      </c>
      <c r="C211" s="18" t="s">
        <v>679</v>
      </c>
      <c r="D211" s="19" t="s">
        <v>2284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0" t="s">
        <v>1731</v>
      </c>
      <c r="O211" s="35" t="str">
        <f>IFERROR(VLOOKUP($G211,[1]DB2!$A:$B,2,0),"공동과책 확인")</f>
        <v>Gong, Sungyong</v>
      </c>
      <c r="P211" s="35" t="s">
        <v>1802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2015</v>
      </c>
      <c r="B212" s="23" t="s">
        <v>21</v>
      </c>
      <c r="C212" s="23" t="s">
        <v>682</v>
      </c>
      <c r="D212" s="42" t="s">
        <v>2285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3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2" t="s">
        <v>1771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3" t="s">
        <v>1772</v>
      </c>
      <c r="O213" s="35" t="str">
        <f>IFERROR(VLOOKUP($G213,[1]DB2!$A:$B,2,0),"공동과책 확인")</f>
        <v>Yoon, Jeongho</v>
      </c>
      <c r="P213" s="35" t="s">
        <v>2263</v>
      </c>
      <c r="Q213" s="35" t="s">
        <v>1799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2" t="s">
        <v>2286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3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2287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3" t="s">
        <v>1774</v>
      </c>
      <c r="O215" s="35" t="str">
        <f>IFERROR(VLOOKUP($G215,[1]DB2!$A:$B,2,0),"공동과책 확인")</f>
        <v>Lee, Who-Seung</v>
      </c>
      <c r="P215" s="35" t="s">
        <v>1800</v>
      </c>
      <c r="Q215" s="35" t="s">
        <v>2266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2" t="s">
        <v>1775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3" t="s">
        <v>1776</v>
      </c>
      <c r="O216" s="35" t="str">
        <f>IFERROR(VLOOKUP($G216,[1]DB2!$A:$B,2,0),"공동과책 확인")</f>
        <v>Kim, Yumi</v>
      </c>
      <c r="P216" s="35" t="s">
        <v>1799</v>
      </c>
      <c r="Q216" s="35" t="s">
        <v>1801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2" t="s">
        <v>1777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3" t="s">
        <v>1777</v>
      </c>
      <c r="O217" s="35" t="str">
        <f>IFERROR(VLOOKUP($G217,[1]DB2!$A:$B,2,0),"공동과책 확인")</f>
        <v>Chang, Hoon</v>
      </c>
      <c r="P217" s="35" t="s">
        <v>1801</v>
      </c>
      <c r="Q217" s="35" t="s">
        <v>2288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2289</v>
      </c>
      <c r="E218" s="29"/>
      <c r="F218" s="29" t="s">
        <v>785</v>
      </c>
      <c r="G218" s="32" t="s">
        <v>786</v>
      </c>
      <c r="H218" s="29" t="s">
        <v>425</v>
      </c>
      <c r="I218" s="29" t="s">
        <v>2022</v>
      </c>
      <c r="J218" s="33">
        <v>3000000</v>
      </c>
      <c r="K218" s="34">
        <v>45901</v>
      </c>
      <c r="L218" s="34">
        <v>46081</v>
      </c>
      <c r="M218" s="29"/>
      <c r="N218" s="43" t="s">
        <v>2369</v>
      </c>
      <c r="O218" s="35" t="str">
        <f>IFERROR(VLOOKUP($G218,[1]DB2!$A:$B,2,0),"공동과책 확인")</f>
        <v>Jung, Sungwoon</v>
      </c>
      <c r="P218" s="35" t="s">
        <v>2265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2" t="s">
        <v>1791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3" t="s">
        <v>2370</v>
      </c>
      <c r="O219" s="35" t="str">
        <f>IFERROR(VLOOKUP($G219,[1]DB2!$A:$B,2,0),"공동과책 확인")</f>
        <v xml:space="preserve">Sung, Kyungmin </v>
      </c>
      <c r="P219" s="35" t="s">
        <v>1801</v>
      </c>
      <c r="Q219" s="35" t="s">
        <v>1804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2" t="s">
        <v>1792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3" t="s">
        <v>1793</v>
      </c>
      <c r="O220" s="35" t="str">
        <f>IFERROR(VLOOKUP($G220,[1]DB2!$A:$B,2,0),"공동과책 확인")</f>
        <v>Lee, Ji-Young</v>
      </c>
      <c r="P220" s="35" t="s">
        <v>2263</v>
      </c>
      <c r="Q220" s="35" t="s">
        <v>1800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2" t="s">
        <v>1794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3" t="s">
        <v>2157</v>
      </c>
      <c r="O221" s="35" t="s">
        <v>2271</v>
      </c>
      <c r="P221" s="35" t="s">
        <v>2264</v>
      </c>
      <c r="Q221" s="35" t="s">
        <v>2263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2" t="s">
        <v>1795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3" t="s">
        <v>1798</v>
      </c>
      <c r="O222" s="35" t="str">
        <f>IFERROR(VLOOKUP($G222,[1]DB2!$A:$B,2,0),"공동과책 확인")</f>
        <v>Shin, Dong Won</v>
      </c>
      <c r="P222" s="35" t="s">
        <v>2262</v>
      </c>
      <c r="Q222" s="35" t="s">
        <v>2265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2" t="s">
        <v>1778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3" t="s">
        <v>1779</v>
      </c>
      <c r="O223" s="35" t="str">
        <f>IFERROR(VLOOKUP($G223,[1]DB2!$A:$B,2,0),"공동과책 확인")</f>
        <v>Kim, Sungjin</v>
      </c>
      <c r="P223" s="35" t="s">
        <v>2262</v>
      </c>
      <c r="Q223" s="35" t="s">
        <v>2265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2" t="s">
        <v>1780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3" t="s">
        <v>1781</v>
      </c>
      <c r="O224" s="35" t="str">
        <f>IFERROR(VLOOKUP($G224,[1]DB2!$A:$B,2,0),"공동과책 확인")</f>
        <v>Lee, Jeongeun</v>
      </c>
      <c r="P224" s="35" t="s">
        <v>2262</v>
      </c>
      <c r="Q224" s="35" t="s">
        <v>1803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2" t="s">
        <v>1782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8" t="s">
        <v>2371</v>
      </c>
      <c r="O225" s="35" t="str">
        <f>IFERROR(VLOOKUP($G225,[1]DB2!$A:$B,2,0),"공동과책 확인")</f>
        <v xml:space="preserve">Koo, Kyung Ah </v>
      </c>
      <c r="P225" s="35" t="s">
        <v>1800</v>
      </c>
      <c r="Q225" s="35" t="s">
        <v>1803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2" t="s">
        <v>1783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3" t="s">
        <v>2372</v>
      </c>
      <c r="O226" s="35" t="str">
        <f>IFERROR(VLOOKUP($G226,[1]DB2!$A:$B,2,0),"공동과책 확인")</f>
        <v>Lee, Who-Seung</v>
      </c>
      <c r="P226" s="35" t="s">
        <v>1800</v>
      </c>
      <c r="Q226" s="35" t="s">
        <v>2265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2" t="s">
        <v>1773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3" t="s">
        <v>2373</v>
      </c>
      <c r="O227" s="35" t="str">
        <f>IFERROR(VLOOKUP($G227,[1]DB2!$A:$B,2,0),"공동과책 확인")</f>
        <v>Choi, Yuyoung</v>
      </c>
      <c r="P227" s="35" t="s">
        <v>2264</v>
      </c>
      <c r="Q227" s="35" t="s">
        <v>1800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1819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3" t="s">
        <v>1786</v>
      </c>
      <c r="O228" s="35" t="str">
        <f>IFERROR(VLOOKUP($G228,[1]DB2!$A:$B,2,0),"공동과책 확인")</f>
        <v>Shin, Dong Won</v>
      </c>
      <c r="P228" s="35" t="s">
        <v>2262</v>
      </c>
      <c r="Q228" s="35" t="s">
        <v>1803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2" t="s">
        <v>1784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3" t="s">
        <v>1785</v>
      </c>
      <c r="O229" s="35" t="str">
        <f>IFERROR(VLOOKUP($G229,[1]DB2!$A:$B,2,0),"공동과책 확인")</f>
        <v>Yi, Youngjae</v>
      </c>
      <c r="P229" s="35" t="s">
        <v>1799</v>
      </c>
      <c r="Q229" s="35" t="s">
        <v>1803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2" t="s">
        <v>1788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3" t="s">
        <v>2307</v>
      </c>
      <c r="O230" s="35" t="str">
        <f>IFERROR(VLOOKUP($G230,[1]DB2!$A:$B,2,0),"공동과책 확인")</f>
        <v>Han, Haejin</v>
      </c>
      <c r="P230" s="35" t="s">
        <v>1804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2" t="s">
        <v>1787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3" t="s">
        <v>2327</v>
      </c>
      <c r="O231" s="35" t="str">
        <f>IFERROR(VLOOKUP($G231,[1]DB2!$A:$B,2,0),"공동과책 확인")</f>
        <v xml:space="preserve">Oh, Myoungjin </v>
      </c>
      <c r="P231" s="35" t="s">
        <v>1804</v>
      </c>
      <c r="Q231" s="35" t="s">
        <v>1803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2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3" t="s">
        <v>1796</v>
      </c>
      <c r="O232" s="35" t="str">
        <f>IFERROR(VLOOKUP($G232,[1]DB2!$A:$B,2,0),"공동과책 확인")</f>
        <v>Hahn, Jinseok</v>
      </c>
      <c r="P232" s="35" t="s">
        <v>2262</v>
      </c>
      <c r="Q232" s="35" t="s">
        <v>1803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2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3" t="s">
        <v>1797</v>
      </c>
      <c r="O233" s="35" t="str">
        <f>IFERROR(VLOOKUP($G233,[1]DB2!$A:$B,2,0),"공동과책 확인")</f>
        <v>Choi, Mikyoung</v>
      </c>
      <c r="P233" s="35" t="s">
        <v>1804</v>
      </c>
      <c r="Q233" s="35" t="s">
        <v>1801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2" t="s">
        <v>1789</v>
      </c>
      <c r="E234" s="19"/>
      <c r="F234" s="19" t="s">
        <v>129</v>
      </c>
      <c r="G234" s="23" t="s">
        <v>2026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3" t="s">
        <v>1790</v>
      </c>
      <c r="O234" s="35" t="str">
        <f>IFERROR(VLOOKUP($G234,[1]DB2!$A:$B,2,0),"공동과책 확인")</f>
        <v>Han, Daeho</v>
      </c>
      <c r="P234" s="35" t="s">
        <v>1799</v>
      </c>
      <c r="Q234" s="35" t="s">
        <v>2288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1906</v>
      </c>
      <c r="D235" s="42" t="s">
        <v>2027</v>
      </c>
      <c r="E235" s="19"/>
      <c r="F235" s="19" t="s">
        <v>1907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3" t="s">
        <v>2023</v>
      </c>
      <c r="O235" s="35" t="str">
        <f>IFERROR(VLOOKUP($G235,[1]DB2!$A:$B,2,0),"공동과책 확인")</f>
        <v>Yun, Seokhwan</v>
      </c>
      <c r="P235" s="35" t="s">
        <v>1799</v>
      </c>
      <c r="Q235" s="35" t="s">
        <v>1801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1908</v>
      </c>
      <c r="D236" s="42" t="s">
        <v>2024</v>
      </c>
      <c r="E236" s="19"/>
      <c r="F236" s="19" t="s">
        <v>1909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3" t="s">
        <v>2029</v>
      </c>
      <c r="O236" s="35" t="str">
        <f>IFERROR(VLOOKUP($G236,[1]DB2!$A:$B,2,0),"공동과책 확인")</f>
        <v>Song, Seulki</v>
      </c>
      <c r="P236" s="35" t="s">
        <v>2263</v>
      </c>
      <c r="Q236" s="35" t="s">
        <v>2262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1820</v>
      </c>
      <c r="D237" s="42" t="s">
        <v>2030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1821</v>
      </c>
      <c r="N237" s="43" t="s">
        <v>2031</v>
      </c>
      <c r="O237" s="35" t="str">
        <f>IFERROR(VLOOKUP($G237,[1]DB2!$A:$B,2,0),"공동과책 확인")</f>
        <v>Lee, Jeongeun</v>
      </c>
      <c r="P237" s="35" t="s">
        <v>2262</v>
      </c>
      <c r="Q237" s="35" t="s">
        <v>1803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1822</v>
      </c>
      <c r="D238" s="42" t="s">
        <v>2032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1823</v>
      </c>
      <c r="N238" s="43" t="s">
        <v>2033</v>
      </c>
      <c r="O238" s="35" t="str">
        <f>IFERROR(VLOOKUP($G238,[1]DB2!$A:$B,2,0),"공동과책 확인")</f>
        <v>Choi, Hee-Sun</v>
      </c>
      <c r="P238" s="35" t="s">
        <v>1800</v>
      </c>
      <c r="Q238" s="35" t="s">
        <v>2266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1824</v>
      </c>
      <c r="D239" s="42" t="s">
        <v>2034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1825</v>
      </c>
      <c r="N239" s="43" t="s">
        <v>2035</v>
      </c>
      <c r="O239" s="35" t="str">
        <f>IFERROR(VLOOKUP($G239,[1]DB2!$A:$B,2,0),"공동과책 확인")</f>
        <v>Lee, Who-Seung</v>
      </c>
      <c r="P239" s="35" t="s">
        <v>1800</v>
      </c>
      <c r="Q239" s="35" t="s">
        <v>1799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1826</v>
      </c>
      <c r="D240" s="42" t="s">
        <v>2294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1823</v>
      </c>
      <c r="N240" s="48" t="s">
        <v>2374</v>
      </c>
      <c r="O240" s="35" t="str">
        <f>IFERROR(VLOOKUP($G240,[1]DB2!$A:$B,2,0),"공동과책 확인")</f>
        <v xml:space="preserve">Koo, Kyung Ah </v>
      </c>
      <c r="P240" s="35" t="s">
        <v>2288</v>
      </c>
      <c r="Q240" s="35" t="s">
        <v>1800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2227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0" t="s">
        <v>2241</v>
      </c>
      <c r="O241" s="35" t="str">
        <f>IFERROR(VLOOKUP($G241,[1]DB2!$A:$B,2,0),"공동과책 확인")</f>
        <v>Park, Chang Sug</v>
      </c>
      <c r="P241" s="35" t="s">
        <v>2262</v>
      </c>
      <c r="Q241" s="35" t="s">
        <v>2263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44"/>
      <c r="N242" s="40" t="s">
        <v>2325</v>
      </c>
      <c r="O242" s="35" t="str">
        <f>IFERROR(VLOOKUP($G242,[1]DB2!$A:$B,2,0),"공동과책 확인")</f>
        <v>Park, Jun Hyun</v>
      </c>
      <c r="P242" s="35" t="s">
        <v>2265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2292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44"/>
      <c r="N243" s="40" t="s">
        <v>2215</v>
      </c>
      <c r="O243" s="35" t="str">
        <f>IFERROR(VLOOKUP($G243,[1]DB2!$A:$B,2,0),"공동과책 확인")</f>
        <v>Yoon, Jeongho</v>
      </c>
      <c r="P243" s="35" t="s">
        <v>2263</v>
      </c>
      <c r="Q243" s="35" t="s">
        <v>2264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44"/>
      <c r="N244" s="40" t="s">
        <v>2323</v>
      </c>
      <c r="O244" s="35" t="str">
        <f>IFERROR(VLOOKUP($G244,[1]DB2!$A:$B,2,0),"공동과책 확인")</f>
        <v>Cho, Kongjang</v>
      </c>
      <c r="P244" s="35" t="s">
        <v>2163</v>
      </c>
      <c r="Q244" s="35" t="s">
        <v>2264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44"/>
      <c r="N245" s="40" t="s">
        <v>2216</v>
      </c>
      <c r="O245" s="35" t="str">
        <f>IFERROR(VLOOKUP($G245,[1]DB2!$A:$B,2,0),"공동과책 확인")</f>
        <v>Jung, Huicheul</v>
      </c>
      <c r="P245" s="35" t="s">
        <v>1801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44"/>
      <c r="N246" s="40" t="s">
        <v>2217</v>
      </c>
      <c r="O246" s="35" t="str">
        <f>IFERROR(VLOOKUP($G246,[1]DB2!$A:$B,2,0),"공동과책 확인")</f>
        <v>Lee, Sangbum</v>
      </c>
      <c r="P246" s="35" t="s">
        <v>1799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44"/>
      <c r="N247" s="40" t="s">
        <v>2218</v>
      </c>
      <c r="O247" s="35" t="str">
        <f>IFERROR(VLOOKUP($G247,[1]DB2!$A:$B,2,0),"공동과책 확인")</f>
        <v>Lee, Sangbum</v>
      </c>
      <c r="P247" s="35" t="s">
        <v>1799</v>
      </c>
      <c r="Q247" s="35" t="s">
        <v>1801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44"/>
      <c r="N248" s="40" t="s">
        <v>2219</v>
      </c>
      <c r="O248" s="35" t="str">
        <f>IFERROR(VLOOKUP($G248,[1]DB2!$A:$B,2,0),"공동과책 확인")</f>
        <v>Ryu, Jaena</v>
      </c>
      <c r="P248" s="35" t="s">
        <v>1804</v>
      </c>
      <c r="Q248" s="35" t="s">
        <v>1803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44"/>
      <c r="N249" s="40" t="s">
        <v>1815</v>
      </c>
      <c r="O249" s="35" t="str">
        <f>IFERROR(VLOOKUP($G249,[1]DB2!$A:$B,2,0),"공동과책 확인")</f>
        <v xml:space="preserve">Yi, Sora </v>
      </c>
      <c r="P249" s="35" t="s">
        <v>2162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44"/>
      <c r="N250" s="40" t="s">
        <v>1809</v>
      </c>
      <c r="O250" s="35" t="str">
        <f>IFERROR(VLOOKUP($G250,[1]DB2!$A:$B,2,0),"공동과책 확인")</f>
        <v>Lee, Who-Seung</v>
      </c>
      <c r="P250" s="35" t="s">
        <v>1800</v>
      </c>
      <c r="Q250" s="35" t="s">
        <v>2266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44"/>
      <c r="N251" s="40" t="s">
        <v>2220</v>
      </c>
      <c r="O251" s="35" t="str">
        <f>IFERROR(VLOOKUP($G251,[1]DB2!$A:$B,2,0),"공동과책 확인")</f>
        <v>Park, Taeho</v>
      </c>
      <c r="P251" s="35" t="s">
        <v>1799</v>
      </c>
      <c r="Q251" s="35" t="s">
        <v>2264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44"/>
      <c r="N252" s="40" t="s">
        <v>2221</v>
      </c>
      <c r="O252" s="35" t="str">
        <f>IFERROR(VLOOKUP($G252,[1]DB2!$A:$B,2,0),"공동과책 확인")</f>
        <v>Suh, Yang-won</v>
      </c>
      <c r="P252" s="35" t="s">
        <v>1803</v>
      </c>
      <c r="Q252" s="35" t="s">
        <v>2266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44"/>
      <c r="N253" s="40" t="s">
        <v>2222</v>
      </c>
      <c r="O253" s="35" t="str">
        <f>IFERROR(VLOOKUP($G253,[1]DB2!$A:$B,2,0),"공동과책 확인")</f>
        <v>Lee, Sangbum</v>
      </c>
      <c r="P253" s="35" t="s">
        <v>1799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44"/>
      <c r="N254" s="40" t="s">
        <v>2223</v>
      </c>
      <c r="O254" s="35" t="str">
        <f>IFERROR(VLOOKUP($G254,[1]DB2!$A:$B,2,0),"공동과책 확인")</f>
        <v>Lee, Sangbum</v>
      </c>
      <c r="P254" s="35" t="s">
        <v>1799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2242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44" t="s">
        <v>2243</v>
      </c>
      <c r="N255" s="40" t="s">
        <v>2247</v>
      </c>
      <c r="O255" s="35" t="str">
        <f>IFERROR(VLOOKUP($G255,[1]DB2!$A:$B,2,0),"공동과책 확인")</f>
        <v>Jung, Huicheul</v>
      </c>
      <c r="P255" s="35" t="s">
        <v>1801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2228</v>
      </c>
      <c r="D256" s="19" t="s">
        <v>2229</v>
      </c>
      <c r="E256" s="19"/>
      <c r="F256" s="19" t="s">
        <v>730</v>
      </c>
      <c r="G256" s="18" t="s">
        <v>731</v>
      </c>
      <c r="H256" s="19" t="s">
        <v>732</v>
      </c>
      <c r="I256" s="19" t="s">
        <v>2236</v>
      </c>
      <c r="J256" s="20">
        <v>3000000</v>
      </c>
      <c r="K256" s="21">
        <v>45537</v>
      </c>
      <c r="L256" s="21">
        <v>45716</v>
      </c>
      <c r="M256" s="44"/>
      <c r="N256" s="40" t="s">
        <v>2248</v>
      </c>
      <c r="O256" s="35" t="str">
        <f>IFERROR(VLOOKUP($G256,[1]DB2!$A:$B,2,0),"공동과책 확인")</f>
        <v>Lim, Hyesook</v>
      </c>
      <c r="P256" s="35" t="s">
        <v>2162</v>
      </c>
      <c r="Q256" s="35"/>
      <c r="R256" s="35" t="s">
        <v>2255</v>
      </c>
      <c r="S256" s="35" t="s">
        <v>2256</v>
      </c>
    </row>
    <row r="257" spans="1:19" ht="18" customHeight="1">
      <c r="A257" s="31"/>
      <c r="B257" s="18" t="s">
        <v>727</v>
      </c>
      <c r="C257" s="18" t="s">
        <v>734</v>
      </c>
      <c r="D257" s="19" t="s">
        <v>2230</v>
      </c>
      <c r="E257" s="19"/>
      <c r="F257" s="19" t="s">
        <v>735</v>
      </c>
      <c r="G257" s="18" t="s">
        <v>736</v>
      </c>
      <c r="H257" s="19" t="s">
        <v>137</v>
      </c>
      <c r="I257" s="19" t="s">
        <v>2237</v>
      </c>
      <c r="J257" s="20">
        <v>3000000</v>
      </c>
      <c r="K257" s="21">
        <v>45537</v>
      </c>
      <c r="L257" s="21">
        <v>45716</v>
      </c>
      <c r="M257" s="44"/>
      <c r="N257" s="40" t="s">
        <v>2249</v>
      </c>
      <c r="O257" s="35" t="str">
        <f>IFERROR(VLOOKUP($G257,[1]DB2!$A:$B,2,0),"공동과책 확인")</f>
        <v xml:space="preserve">Heo, Namjoo </v>
      </c>
      <c r="P257" s="35" t="s">
        <v>2263</v>
      </c>
      <c r="Q257" s="35" t="s">
        <v>2266</v>
      </c>
      <c r="R257" s="35" t="s">
        <v>2257</v>
      </c>
      <c r="S257" s="35" t="s">
        <v>2258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2231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44"/>
      <c r="N258" s="40" t="s">
        <v>2250</v>
      </c>
      <c r="O258" s="35" t="str">
        <f>IFERROR(VLOOKUP($G258,[1]DB2!$A:$B,2,0),"공동과책 확인")</f>
        <v>Hong, Hyunjung</v>
      </c>
      <c r="P258" s="35" t="s">
        <v>1800</v>
      </c>
      <c r="Q258" s="35" t="s">
        <v>2263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2232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44"/>
      <c r="N259" s="40" t="s">
        <v>2251</v>
      </c>
      <c r="O259" s="35" t="str">
        <f>IFERROR(VLOOKUP($G259,[1]DB2!$A:$B,2,0),"공동과책 확인")</f>
        <v xml:space="preserve"> Lim, Miyoung</v>
      </c>
      <c r="P259" s="35" t="s">
        <v>2264</v>
      </c>
      <c r="Q259" s="35" t="s">
        <v>2288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2233</v>
      </c>
      <c r="E260" s="19"/>
      <c r="F260" s="19" t="s">
        <v>748</v>
      </c>
      <c r="G260" s="18" t="s">
        <v>749</v>
      </c>
      <c r="H260" s="19" t="s">
        <v>750</v>
      </c>
      <c r="I260" s="19" t="s">
        <v>2238</v>
      </c>
      <c r="J260" s="20">
        <v>3000000</v>
      </c>
      <c r="K260" s="21">
        <v>45628</v>
      </c>
      <c r="L260" s="21">
        <v>45808</v>
      </c>
      <c r="M260" s="44"/>
      <c r="N260" s="40" t="s">
        <v>2252</v>
      </c>
      <c r="O260" s="35" t="str">
        <f>IFERROR(VLOOKUP($G260,[1]DB2!$A:$B,2,0),"공동과책 확인")</f>
        <v xml:space="preserve">Kim, Doyeon </v>
      </c>
      <c r="P260" s="35" t="s">
        <v>2264</v>
      </c>
      <c r="Q260" s="35" t="s">
        <v>1802</v>
      </c>
      <c r="R260" s="35" t="s">
        <v>2259</v>
      </c>
      <c r="S260" s="35" t="s">
        <v>2258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2234</v>
      </c>
      <c r="E261" s="19"/>
      <c r="F261" s="19" t="s">
        <v>429</v>
      </c>
      <c r="G261" s="18" t="s">
        <v>430</v>
      </c>
      <c r="H261" s="19" t="s">
        <v>93</v>
      </c>
      <c r="I261" s="19" t="s">
        <v>2239</v>
      </c>
      <c r="J261" s="20">
        <v>3000000</v>
      </c>
      <c r="K261" s="21">
        <v>45628</v>
      </c>
      <c r="L261" s="21">
        <v>45808</v>
      </c>
      <c r="M261" s="44"/>
      <c r="N261" s="40" t="s">
        <v>2253</v>
      </c>
      <c r="O261" s="35" t="str">
        <f>IFERROR(VLOOKUP($G261,[1]DB2!$A:$B,2,0),"공동과책 확인")</f>
        <v>Choi, Mikyoung</v>
      </c>
      <c r="P261" s="35" t="s">
        <v>1804</v>
      </c>
      <c r="Q261" s="35" t="s">
        <v>1800</v>
      </c>
      <c r="R261" s="35" t="s">
        <v>2260</v>
      </c>
      <c r="S261" s="35" t="s">
        <v>2261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2235</v>
      </c>
      <c r="E262" s="19"/>
      <c r="F262" s="19" t="s">
        <v>755</v>
      </c>
      <c r="G262" s="18" t="s">
        <v>756</v>
      </c>
      <c r="H262" s="19" t="s">
        <v>58</v>
      </c>
      <c r="I262" s="19" t="s">
        <v>2240</v>
      </c>
      <c r="J262" s="20">
        <v>3000000</v>
      </c>
      <c r="K262" s="21">
        <v>45628</v>
      </c>
      <c r="L262" s="21">
        <v>45808</v>
      </c>
      <c r="M262" s="44"/>
      <c r="N262" s="40" t="s">
        <v>2254</v>
      </c>
      <c r="O262" s="35"/>
      <c r="P262" s="35" t="s">
        <v>1799</v>
      </c>
      <c r="Q262" s="35" t="s">
        <v>1800</v>
      </c>
      <c r="R262" s="35" t="s">
        <v>2258</v>
      </c>
      <c r="S262" s="35" t="s">
        <v>2258</v>
      </c>
    </row>
    <row r="263" spans="1:19" ht="18" customHeight="1">
      <c r="A263" s="31"/>
      <c r="B263" s="18" t="s">
        <v>21</v>
      </c>
      <c r="C263" s="18" t="s">
        <v>2244</v>
      </c>
      <c r="D263" s="19" t="s">
        <v>2245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44" t="s">
        <v>1821</v>
      </c>
      <c r="N263" s="40" t="s">
        <v>2246</v>
      </c>
      <c r="O263" s="35" t="str">
        <f>IFERROR(VLOOKUP($G263,[1]DB2!$A:$B,2,0),"공동과책 확인")</f>
        <v>Jung, Huicheul</v>
      </c>
      <c r="P263" s="35" t="s">
        <v>1801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1827</v>
      </c>
      <c r="D264" s="42" t="s">
        <v>2036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1821</v>
      </c>
      <c r="N264" s="43" t="s">
        <v>2298</v>
      </c>
      <c r="O264" s="35" t="str">
        <f>IFERROR(VLOOKUP($G264,[1]DB2!$A:$B,2,0),"공동과책 확인")</f>
        <v>Shin, Jiyoung</v>
      </c>
      <c r="P264" s="35" t="s">
        <v>1801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1828</v>
      </c>
      <c r="D265" s="42" t="s">
        <v>2037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1821</v>
      </c>
      <c r="N265" s="43" t="s">
        <v>2038</v>
      </c>
      <c r="O265" s="35" t="str">
        <f>IFERROR(VLOOKUP($G265,[1]DB2!$A:$B,2,0),"공동과책 확인")</f>
        <v>Cho, Hanna</v>
      </c>
      <c r="P265" s="35" t="s">
        <v>1801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1829</v>
      </c>
      <c r="D266" s="42" t="s">
        <v>2039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1821</v>
      </c>
      <c r="N266" s="43" t="s">
        <v>2326</v>
      </c>
      <c r="O266" s="35" t="str">
        <f>IFERROR(VLOOKUP($G266,[1]DB2!$A:$B,2,0),"공동과책 확인")</f>
        <v>Cho, Hanna</v>
      </c>
      <c r="P266" s="35" t="s">
        <v>1801</v>
      </c>
      <c r="Q266" s="35" t="s">
        <v>2163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1830</v>
      </c>
      <c r="D267" s="42" t="s">
        <v>2040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1821</v>
      </c>
      <c r="N267" s="43" t="s">
        <v>2164</v>
      </c>
      <c r="O267" s="35" t="str">
        <f>IFERROR(VLOOKUP($G267,[1]DB2!$A:$B,2,0),"공동과책 확인")</f>
        <v>Jung, Huicheul</v>
      </c>
      <c r="P267" s="35" t="s">
        <v>1801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1831</v>
      </c>
      <c r="D268" s="42" t="s">
        <v>2041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1821</v>
      </c>
      <c r="N268" s="43" t="s">
        <v>2161</v>
      </c>
      <c r="O268" s="35" t="str">
        <f>IFERROR(VLOOKUP($G268,[1]DB2!$A:$B,2,0),"공동과책 확인")</f>
        <v>Yoon, Jeongho</v>
      </c>
      <c r="P268" s="35" t="s">
        <v>2263</v>
      </c>
      <c r="Q268" s="35" t="s">
        <v>1799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1832</v>
      </c>
      <c r="D269" s="42" t="s">
        <v>1833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3" t="s">
        <v>2043</v>
      </c>
      <c r="O269" s="35" t="str">
        <f>IFERROR(VLOOKUP($G269,[1]DB2!$A:$B,2,0),"공동과책 확인")</f>
        <v>Chang, Hoon</v>
      </c>
      <c r="P269" s="35" t="s">
        <v>1801</v>
      </c>
      <c r="Q269" s="35" t="s">
        <v>2265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1834</v>
      </c>
      <c r="D270" s="42" t="s">
        <v>2044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3" t="s">
        <v>2046</v>
      </c>
      <c r="O270" s="35" t="str">
        <f>IFERROR(VLOOKUP($G270,[1]DB2!$A:$B,2,0),"공동과책 확인")</f>
        <v>Kim, Hyunno</v>
      </c>
      <c r="P270" s="35" t="s">
        <v>1803</v>
      </c>
      <c r="Q270" s="35" t="s">
        <v>1800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1835</v>
      </c>
      <c r="D271" s="42" t="s">
        <v>1836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3" t="s">
        <v>2048</v>
      </c>
      <c r="O271" s="35" t="str">
        <f>IFERROR(VLOOKUP($G271,[1]DB2!$A:$B,2,0),"공동과책 확인")</f>
        <v>Kim, Choong-ki</v>
      </c>
      <c r="P271" s="35" t="s">
        <v>2290</v>
      </c>
      <c r="Q271" s="35" t="s">
        <v>2264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1837</v>
      </c>
      <c r="D272" s="42" t="s">
        <v>2088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3" t="s">
        <v>2296</v>
      </c>
      <c r="O272" s="35" t="str">
        <f>IFERROR(VLOOKUP($G272,[1]DB2!$A:$B,2,0),"공동과책 확인")</f>
        <v>Song, Youngil</v>
      </c>
      <c r="P272" s="35" t="s">
        <v>1801</v>
      </c>
      <c r="Q272" s="35" t="s">
        <v>2264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1838</v>
      </c>
      <c r="D273" s="42" t="s">
        <v>1839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3" t="s">
        <v>2050</v>
      </c>
      <c r="O273" s="35" t="str">
        <f>IFERROR(VLOOKUP($G273,[1]DB2!$A:$B,2,0),"공동과책 확인")</f>
        <v>Song, Youngil</v>
      </c>
      <c r="P273" s="35" t="s">
        <v>1801</v>
      </c>
      <c r="Q273" s="35" t="s">
        <v>2264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1840</v>
      </c>
      <c r="D274" s="42" t="s">
        <v>1841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3" t="s">
        <v>2052</v>
      </c>
      <c r="O274" s="35" t="str">
        <f>IFERROR(VLOOKUP($G274,[1]DB2!$A:$B,2,0),"공동과책 확인")</f>
        <v>Ahn, Jongho</v>
      </c>
      <c r="P274" s="35" t="s">
        <v>1804</v>
      </c>
      <c r="Q274" s="35" t="s">
        <v>1801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1842</v>
      </c>
      <c r="D275" s="42" t="s">
        <v>1843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3" t="s">
        <v>2054</v>
      </c>
      <c r="O275" s="35" t="str">
        <f>IFERROR(VLOOKUP($G275,[1]DB2!$A:$B,2,0),"공동과책 확인")</f>
        <v>Chang, Hoon</v>
      </c>
      <c r="P275" s="35" t="s">
        <v>2262</v>
      </c>
      <c r="Q275" s="35" t="s">
        <v>2265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1844</v>
      </c>
      <c r="D276" s="42" t="s">
        <v>1845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3" t="s">
        <v>2056</v>
      </c>
      <c r="O276" s="35" t="str">
        <f>IFERROR(VLOOKUP($G276,[1]DB2!$A:$B,2,0),"공동과책 확인")</f>
        <v>Jung, Huicheul</v>
      </c>
      <c r="P276" s="35" t="s">
        <v>1801</v>
      </c>
      <c r="Q276" s="35" t="s">
        <v>2264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1846</v>
      </c>
      <c r="D277" s="42" t="s">
        <v>1847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3" t="s">
        <v>2058</v>
      </c>
      <c r="O277" s="35" t="str">
        <f>IFERROR(VLOOKUP($G277,[1]DB2!$A:$B,2,0),"공동과책 확인")</f>
        <v xml:space="preserve">Jung, Dawoon </v>
      </c>
      <c r="P277" s="35" t="s">
        <v>2288</v>
      </c>
      <c r="Q277" s="35" t="s">
        <v>2266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1848</v>
      </c>
      <c r="D278" s="42" t="s">
        <v>1849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3" t="s">
        <v>2299</v>
      </c>
      <c r="O278" s="35" t="str">
        <f>IFERROR(VLOOKUP($G278,[1]DB2!$A:$B,2,0),"공동과책 확인")</f>
        <v>Lee, Moonhwan</v>
      </c>
      <c r="P278" s="35" t="s">
        <v>1804</v>
      </c>
      <c r="Q278" s="35" t="s">
        <v>1803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1850</v>
      </c>
      <c r="D279" s="42" t="s">
        <v>1851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3" t="s">
        <v>2197</v>
      </c>
      <c r="O279" s="35" t="str">
        <f>IFERROR(VLOOKUP($G279,[1]DB2!$A:$B,2,0),"공동과책 확인")</f>
        <v>Myeong, Soojeong</v>
      </c>
      <c r="P279" s="35" t="s">
        <v>1800</v>
      </c>
      <c r="Q279" s="35" t="s">
        <v>1801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1852</v>
      </c>
      <c r="D280" s="42" t="s">
        <v>1853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3" t="s">
        <v>2300</v>
      </c>
      <c r="O280" s="35" t="str">
        <f>IFERROR(VLOOKUP($G280,[1]DB2!$A:$B,2,0),"공동과책 확인")</f>
        <v>Lee, Moonhwan</v>
      </c>
      <c r="P280" s="35" t="s">
        <v>1804</v>
      </c>
      <c r="Q280" s="35" t="s">
        <v>2264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1854</v>
      </c>
      <c r="D281" s="42" t="s">
        <v>1855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3" t="s">
        <v>2198</v>
      </c>
      <c r="O281" s="35" t="str">
        <f>IFERROR(VLOOKUP($G281,[1]DB2!$A:$B,2,0),"공동과책 확인")</f>
        <v>Myeong, Soojeong</v>
      </c>
      <c r="P281" s="35" t="s">
        <v>2262</v>
      </c>
      <c r="Q281" s="35" t="s">
        <v>1800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1856</v>
      </c>
      <c r="D282" s="42" t="s">
        <v>1857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3" t="s">
        <v>2199</v>
      </c>
      <c r="O282" s="35" t="str">
        <f>IFERROR(VLOOKUP($G282,[1]DB2!$A:$B,2,0),"공동과책 확인")</f>
        <v>Kim, Taeyun</v>
      </c>
      <c r="P282" s="35" t="s">
        <v>1799</v>
      </c>
      <c r="Q282" s="35" t="s">
        <v>2290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1858</v>
      </c>
      <c r="D283" s="42" t="s">
        <v>2200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3" t="s">
        <v>2201</v>
      </c>
      <c r="O283" s="35" t="str">
        <f>IFERROR(VLOOKUP($G283,[1]DB2!$A:$B,2,0),"공동과책 확인")</f>
        <v>Lee, Seungmin</v>
      </c>
      <c r="P283" s="35" t="s">
        <v>2262</v>
      </c>
      <c r="Q283" s="35" t="s">
        <v>2264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1859</v>
      </c>
      <c r="D284" s="42" t="s">
        <v>1860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3" t="s">
        <v>2202</v>
      </c>
      <c r="O284" s="35" t="str">
        <f>IFERROR(VLOOKUP($G284,[1]DB2!$A:$B,2,0),"공동과책 확인")</f>
        <v>Choi, Mikyoung</v>
      </c>
      <c r="P284" s="35" t="s">
        <v>1804</v>
      </c>
      <c r="Q284" s="35" t="s">
        <v>1800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1861</v>
      </c>
      <c r="D285" s="42" t="s">
        <v>1862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3" t="s">
        <v>2203</v>
      </c>
      <c r="O285" s="35" t="str">
        <f>IFERROR(VLOOKUP($G285,[1]DB2!$A:$B,2,0),"공동과책 확인")</f>
        <v>Kang, Hyeongsik</v>
      </c>
      <c r="P285" s="35" t="s">
        <v>1804</v>
      </c>
      <c r="Q285" s="35" t="s">
        <v>1801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1863</v>
      </c>
      <c r="D286" s="42" t="s">
        <v>1864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3" t="s">
        <v>2204</v>
      </c>
      <c r="O286" s="35" t="str">
        <f>IFERROR(VLOOKUP($G286,[1]DB2!$A:$B,2,0),"공동과책 확인")</f>
        <v>Myeong, Soojeong</v>
      </c>
      <c r="P286" s="35" t="s">
        <v>2262</v>
      </c>
      <c r="Q286" s="35" t="s">
        <v>1801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1865</v>
      </c>
      <c r="D287" s="42" t="s">
        <v>1866</v>
      </c>
      <c r="E287" s="19"/>
      <c r="F287" s="19" t="s">
        <v>1867</v>
      </c>
      <c r="G287" s="23" t="s">
        <v>1868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3" t="s">
        <v>2205</v>
      </c>
      <c r="O287" s="35" t="str">
        <f>IFERROR(VLOOKUP($G287,[1]DB2!$A:$B,2,0),"공동과책 확인")</f>
        <v>Jeong, Yunsun</v>
      </c>
      <c r="P287" s="35" t="s">
        <v>2290</v>
      </c>
      <c r="Q287" s="35" t="s">
        <v>2288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1869</v>
      </c>
      <c r="D288" s="42" t="s">
        <v>1870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3" t="s">
        <v>2375</v>
      </c>
      <c r="O288" s="35" t="str">
        <f>IFERROR(VLOOKUP($G288,[1]DB2!$A:$B,2,0),"공동과책 확인")</f>
        <v xml:space="preserve">Koo, Kyung Ah </v>
      </c>
      <c r="P288" s="35" t="s">
        <v>1801</v>
      </c>
      <c r="Q288" s="35" t="s">
        <v>2290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1871</v>
      </c>
      <c r="D289" s="42" t="s">
        <v>1872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3" t="s">
        <v>2206</v>
      </c>
      <c r="O289" s="35" t="str">
        <f>IFERROR(VLOOKUP($G289,[1]DB2!$A:$B,2,0),"공동과책 확인")</f>
        <v>Kim, Hyunno</v>
      </c>
      <c r="P289" s="35" t="s">
        <v>1803</v>
      </c>
      <c r="Q289" s="35" t="s">
        <v>1800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1873</v>
      </c>
      <c r="D290" s="42" t="s">
        <v>1874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3" t="s">
        <v>2207</v>
      </c>
      <c r="O290" s="35" t="str">
        <f>IFERROR(VLOOKUP($G290,[1]DB2!$A:$B,2,0),"공동과책 확인")</f>
        <v>Chae, Yeora</v>
      </c>
      <c r="P290" s="35" t="s">
        <v>1801</v>
      </c>
      <c r="Q290" s="35" t="s">
        <v>2163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1875</v>
      </c>
      <c r="D291" s="42" t="s">
        <v>1876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3" t="s">
        <v>2208</v>
      </c>
      <c r="O291" s="35" t="str">
        <f>IFERROR(VLOOKUP($G291,[1]DB2!$A:$B,2,0),"공동과책 확인")</f>
        <v xml:space="preserve">Song, Jiyoon </v>
      </c>
      <c r="P291" s="35" t="s">
        <v>2263</v>
      </c>
      <c r="Q291" s="35" t="s">
        <v>2262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1877</v>
      </c>
      <c r="D292" s="42" t="s">
        <v>1878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3" t="s">
        <v>2209</v>
      </c>
      <c r="O292" s="35" t="str">
        <f>IFERROR(VLOOKUP($G292,[1]DB2!$A:$B,2,0),"공동과책 확인")</f>
        <v xml:space="preserve">Lee, Seungsoo </v>
      </c>
      <c r="P292" s="35" t="s">
        <v>1804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1879</v>
      </c>
      <c r="D293" s="42" t="s">
        <v>1880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3" t="s">
        <v>2210</v>
      </c>
      <c r="O293" s="35" t="str">
        <f>IFERROR(VLOOKUP($G293,[1]DB2!$A:$B,2,0),"공동과책 확인")</f>
        <v xml:space="preserve">Han, Jihyun </v>
      </c>
      <c r="P293" s="35" t="s">
        <v>2262</v>
      </c>
      <c r="Q293" s="35" t="s">
        <v>2265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1881</v>
      </c>
      <c r="D294" s="42" t="s">
        <v>1882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3" t="s">
        <v>2211</v>
      </c>
      <c r="O294" s="35" t="str">
        <f>IFERROR(VLOOKUP($G294,[1]DB2!$A:$B,2,0),"공동과책 확인")</f>
        <v xml:space="preserve">Kim, Geunhan </v>
      </c>
      <c r="P294" s="35" t="s">
        <v>2262</v>
      </c>
      <c r="Q294" s="35" t="s">
        <v>2263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1883</v>
      </c>
      <c r="D295" s="42" t="s">
        <v>1884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3" t="s">
        <v>2376</v>
      </c>
      <c r="O295" s="35" t="str">
        <f>IFERROR(VLOOKUP($G295,[1]DB2!$A:$B,2,0),"공동과책 확인")</f>
        <v>Choi, Yuyoung</v>
      </c>
      <c r="P295" s="35" t="s">
        <v>2264</v>
      </c>
      <c r="Q295" s="35" t="s">
        <v>1800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1885</v>
      </c>
      <c r="D296" s="42" t="s">
        <v>1886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3" t="s">
        <v>2212</v>
      </c>
      <c r="O296" s="35" t="str">
        <f>IFERROR(VLOOKUP($G296,[1]DB2!$A:$B,2,0),"공동과책 확인")</f>
        <v xml:space="preserve">Kim, Geunhan </v>
      </c>
      <c r="P296" s="35" t="s">
        <v>2263</v>
      </c>
      <c r="Q296" s="35" t="s">
        <v>2264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1887</v>
      </c>
      <c r="D297" s="42" t="s">
        <v>1888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3" t="s">
        <v>2213</v>
      </c>
      <c r="O297" s="35" t="str">
        <f>IFERROR(VLOOKUP($G297,[1]DB2!$A:$B,2,0),"공동과책 확인")</f>
        <v xml:space="preserve">Lee, Seungsoo </v>
      </c>
      <c r="P297" s="35" t="s">
        <v>1804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1892</v>
      </c>
      <c r="D298" s="42" t="s">
        <v>1893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3" t="s">
        <v>2060</v>
      </c>
      <c r="O298" s="35" t="str">
        <f>IFERROR(VLOOKUP($G298,[1]DB2!$A:$B,2,0),"공동과책 확인")</f>
        <v>Kang, Sungwon</v>
      </c>
      <c r="P298" s="35" t="s">
        <v>2288</v>
      </c>
      <c r="Q298" s="35" t="s">
        <v>1802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1894</v>
      </c>
      <c r="D299" s="42" t="s">
        <v>2061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3" t="s">
        <v>2062</v>
      </c>
      <c r="O299" s="35" t="str">
        <f>IFERROR(VLOOKUP($G299,[1]DB2!$A:$B,2,0),"공동과책 확인")</f>
        <v>Hyun, Yunjung</v>
      </c>
      <c r="P299" s="35" t="s">
        <v>1804</v>
      </c>
      <c r="Q299" s="35" t="s">
        <v>1801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1895</v>
      </c>
      <c r="D300" s="42" t="s">
        <v>1896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1821</v>
      </c>
      <c r="N300" s="43" t="s">
        <v>2214</v>
      </c>
      <c r="O300" s="35" t="str">
        <f>IFERROR(VLOOKUP($G300,[1]DB2!$A:$B,2,0),"공동과책 확인")</f>
        <v>Bae, Hyun-Joo</v>
      </c>
      <c r="P300" s="35" t="s">
        <v>2288</v>
      </c>
      <c r="Q300" s="35" t="s">
        <v>2264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1910</v>
      </c>
      <c r="D301" s="42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3" t="s">
        <v>2325</v>
      </c>
      <c r="O301" s="35" t="str">
        <f>IFERROR(VLOOKUP($G301,[1]DB2!$A:$B,2,0),"공동과책 확인")</f>
        <v>Park, Jun Hyun</v>
      </c>
      <c r="P301" s="35" t="s">
        <v>2265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1911</v>
      </c>
      <c r="D302" s="42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3" t="s">
        <v>2215</v>
      </c>
      <c r="O302" s="35" t="str">
        <f>IFERROR(VLOOKUP($G302,[1]DB2!$A:$B,2,0),"공동과책 확인")</f>
        <v>Yoon, Jeongho</v>
      </c>
      <c r="P302" s="35" t="s">
        <v>2263</v>
      </c>
      <c r="Q302" s="35" t="s">
        <v>2264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1912</v>
      </c>
      <c r="D303" s="42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3" t="s">
        <v>2377</v>
      </c>
      <c r="O303" s="35" t="str">
        <f>IFERROR(VLOOKUP($G303,[1]DB2!$A:$B,2,0),"공동과책 확인")</f>
        <v>Kim, Dokyun</v>
      </c>
      <c r="P303" s="35" t="s">
        <v>2163</v>
      </c>
      <c r="Q303" s="35" t="s">
        <v>2264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1913</v>
      </c>
      <c r="D304" s="42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3" t="s">
        <v>2216</v>
      </c>
      <c r="O304" s="35" t="str">
        <f>IFERROR(VLOOKUP($G304,[1]DB2!$A:$B,2,0),"공동과책 확인")</f>
        <v>Jung, Huicheul</v>
      </c>
      <c r="P304" s="35" t="s">
        <v>1801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1914</v>
      </c>
      <c r="D305" s="42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3" t="s">
        <v>2217</v>
      </c>
      <c r="O305" s="35" t="str">
        <f>IFERROR(VLOOKUP($G305,[1]DB2!$A:$B,2,0),"공동과책 확인")</f>
        <v>Lee, Sangbum</v>
      </c>
      <c r="P305" s="35" t="s">
        <v>1799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1915</v>
      </c>
      <c r="D306" s="42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3" t="s">
        <v>2218</v>
      </c>
      <c r="O306" s="35" t="str">
        <f>IFERROR(VLOOKUP($G306,[1]DB2!$A:$B,2,0),"공동과책 확인")</f>
        <v>Lee, Sangbum</v>
      </c>
      <c r="P306" s="35" t="s">
        <v>1799</v>
      </c>
      <c r="Q306" s="35" t="s">
        <v>1801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1916</v>
      </c>
      <c r="D307" s="42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3" t="s">
        <v>2219</v>
      </c>
      <c r="O307" s="35" t="str">
        <f>IFERROR(VLOOKUP($G307,[1]DB2!$A:$B,2,0),"공동과책 확인")</f>
        <v>Ryu, Jaena</v>
      </c>
      <c r="P307" s="35" t="s">
        <v>1804</v>
      </c>
      <c r="Q307" s="35" t="s">
        <v>1803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1917</v>
      </c>
      <c r="D308" s="42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3" t="s">
        <v>1815</v>
      </c>
      <c r="O308" s="35" t="str">
        <f>IFERROR(VLOOKUP($G308,[1]DB2!$A:$B,2,0),"공동과책 확인")</f>
        <v xml:space="preserve">Yi, Sora </v>
      </c>
      <c r="P308" s="35" t="s">
        <v>2162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1918</v>
      </c>
      <c r="D309" s="42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3" t="s">
        <v>1809</v>
      </c>
      <c r="O309" s="35" t="str">
        <f>IFERROR(VLOOKUP($G309,[1]DB2!$A:$B,2,0),"공동과책 확인")</f>
        <v>Lee, Who-Seung</v>
      </c>
      <c r="P309" s="35" t="s">
        <v>1800</v>
      </c>
      <c r="Q309" s="35" t="s">
        <v>2266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1919</v>
      </c>
      <c r="D310" s="42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3" t="s">
        <v>2220</v>
      </c>
      <c r="O310" s="35" t="str">
        <f>IFERROR(VLOOKUP($G310,[1]DB2!$A:$B,2,0),"공동과책 확인")</f>
        <v>Park, Taeho</v>
      </c>
      <c r="P310" s="35" t="s">
        <v>1799</v>
      </c>
      <c r="Q310" s="35" t="s">
        <v>2264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1920</v>
      </c>
      <c r="D311" s="42" t="s">
        <v>2063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3" t="s">
        <v>2064</v>
      </c>
      <c r="O311" s="35" t="str">
        <f>IFERROR(VLOOKUP($G311,[1]DB2!$A:$B,2,0),"공동과책 확인")</f>
        <v>Lee, Seungmin</v>
      </c>
      <c r="P311" s="35" t="s">
        <v>1802</v>
      </c>
      <c r="Q311" s="35" t="s">
        <v>2288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1921</v>
      </c>
      <c r="D312" s="42" t="s">
        <v>2065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3" t="s">
        <v>2066</v>
      </c>
      <c r="O312" s="35" t="str">
        <f>IFERROR(VLOOKUP($G312,[1]DB2!$A:$B,2,0),"공동과책 확인")</f>
        <v>Kim, Taeyun</v>
      </c>
      <c r="P312" s="35" t="s">
        <v>1799</v>
      </c>
      <c r="Q312" s="35" t="s">
        <v>2262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1922</v>
      </c>
      <c r="D313" s="42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3" t="s">
        <v>2221</v>
      </c>
      <c r="O313" s="35" t="str">
        <f>IFERROR(VLOOKUP($G313,[1]DB2!$A:$B,2,0),"공동과책 확인")</f>
        <v>Suh, Yang-won</v>
      </c>
      <c r="P313" s="35" t="s">
        <v>1803</v>
      </c>
      <c r="Q313" s="35" t="s">
        <v>2266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1923</v>
      </c>
      <c r="D314" s="42" t="s">
        <v>2067</v>
      </c>
      <c r="E314" s="19"/>
      <c r="F314" s="19" t="s">
        <v>1924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3" t="s">
        <v>2068</v>
      </c>
      <c r="O314" s="35" t="str">
        <f>IFERROR(VLOOKUP($G314,[1]DB2!$A:$B,2,0),"공동과책 확인")</f>
        <v>Joo, Yong-Joon</v>
      </c>
      <c r="P314" s="35" t="s">
        <v>2263</v>
      </c>
      <c r="Q314" s="35" t="s">
        <v>2266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1925</v>
      </c>
      <c r="D315" s="42" t="s">
        <v>2069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3" t="s">
        <v>2334</v>
      </c>
      <c r="O315" s="35" t="str">
        <f>IFERROR(VLOOKUP($G315,[1]DB2!$A:$B,2,0),"공동과책 확인")</f>
        <v xml:space="preserve">Yi, Sora </v>
      </c>
      <c r="P315" s="35" t="s">
        <v>2162</v>
      </c>
      <c r="Q315" s="35" t="s">
        <v>2264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1926</v>
      </c>
      <c r="D316" s="42" t="s">
        <v>2071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3" t="s">
        <v>2072</v>
      </c>
      <c r="O316" s="35" t="str">
        <f>IFERROR(VLOOKUP($G316,[1]DB2!$A:$B,2,0),"공동과책 확인")</f>
        <v>Hong, Hyunjung</v>
      </c>
      <c r="P316" s="35" t="s">
        <v>1800</v>
      </c>
      <c r="Q316" s="35" t="s">
        <v>2163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1927</v>
      </c>
      <c r="D317" s="42" t="s">
        <v>2073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3" t="s">
        <v>2312</v>
      </c>
      <c r="O317" s="35" t="str">
        <f>IFERROR(VLOOKUP($G317,[1]DB2!$A:$B,2,0),"공동과책 확인")</f>
        <v xml:space="preserve">Jung, Dawoon </v>
      </c>
      <c r="P317" s="35" t="s">
        <v>2288</v>
      </c>
      <c r="Q317" s="35" t="s">
        <v>1800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1928</v>
      </c>
      <c r="D318" s="42" t="s">
        <v>2074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3" t="s">
        <v>2335</v>
      </c>
      <c r="O318" s="35" t="str">
        <f>IFERROR(VLOOKUP($G318,[1]DB2!$A:$B,2,0),"공동과책 확인")</f>
        <v>Kang, Hyeongsik</v>
      </c>
      <c r="P318" s="35" t="s">
        <v>1804</v>
      </c>
      <c r="Q318" s="35" t="s">
        <v>1801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1929</v>
      </c>
      <c r="D319" s="42" t="s">
        <v>2075</v>
      </c>
      <c r="E319" s="19"/>
      <c r="F319" s="19" t="s">
        <v>1930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3" t="s">
        <v>2336</v>
      </c>
      <c r="O319" s="35" t="str">
        <f>IFERROR(VLOOKUP($G319,[1]DB2!$A:$B,2,0),"공동과책 확인")</f>
        <v>Sun, Hyosung</v>
      </c>
      <c r="P319" s="35" t="s">
        <v>1799</v>
      </c>
      <c r="Q319" s="35" t="s">
        <v>2163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1931</v>
      </c>
      <c r="D320" s="42" t="s">
        <v>2076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3" t="s">
        <v>2378</v>
      </c>
      <c r="O320" s="35" t="str">
        <f>IFERROR(VLOOKUP($G320,[1]DB2!$A:$B,2,0),"공동과책 확인")</f>
        <v>Choi, Hyungsik</v>
      </c>
      <c r="P320" s="35" t="s">
        <v>2262</v>
      </c>
      <c r="Q320" s="35" t="s">
        <v>1803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1932</v>
      </c>
      <c r="D321" s="42" t="s">
        <v>2077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3" t="s">
        <v>2078</v>
      </c>
      <c r="O321" s="35" t="str">
        <f>IFERROR(VLOOKUP($G321,[1]DB2!$A:$B,2,0),"공동과책 확인")</f>
        <v>Jo, Ji Hye</v>
      </c>
      <c r="P321" s="35" t="s">
        <v>2162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1933</v>
      </c>
      <c r="D322" s="42" t="s">
        <v>2079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3" t="s">
        <v>2337</v>
      </c>
      <c r="O322" s="35" t="str">
        <f>IFERROR(VLOOKUP($G322,[1]DB2!$A:$B,2,0),"공동과책 확인")</f>
        <v>Shin, Jiyoung</v>
      </c>
      <c r="P322" s="35" t="s">
        <v>1801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1934</v>
      </c>
      <c r="D323" s="42" t="s">
        <v>2080</v>
      </c>
      <c r="E323" s="19"/>
      <c r="F323" s="19" t="s">
        <v>1935</v>
      </c>
      <c r="G323" s="23" t="s">
        <v>1936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3" t="s">
        <v>2081</v>
      </c>
      <c r="O323" s="35" t="str">
        <f>IFERROR(VLOOKUP($G323,[1]DB2!$A:$B,2,0),"공동과책 확인")</f>
        <v>Park, Jihwan</v>
      </c>
      <c r="P323" s="35" t="s">
        <v>2162</v>
      </c>
      <c r="Q323" s="35" t="s">
        <v>1803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1937</v>
      </c>
      <c r="D324" s="42" t="s">
        <v>2082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3" t="s">
        <v>2083</v>
      </c>
      <c r="O324" s="35" t="str">
        <f>IFERROR(VLOOKUP($G324,[1]DB2!$A:$B,2,0),"공동과책 확인")</f>
        <v>Kim, Sungjin</v>
      </c>
      <c r="P324" s="35" t="s">
        <v>2262</v>
      </c>
      <c r="Q324" s="35" t="s">
        <v>2163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1938</v>
      </c>
      <c r="D325" s="42" t="s">
        <v>2084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3" t="s">
        <v>2085</v>
      </c>
      <c r="O325" s="35" t="str">
        <f>IFERROR(VLOOKUP($G325,[1]DB2!$A:$B,2,0),"공동과책 확인")</f>
        <v xml:space="preserve">Park, Juyoung </v>
      </c>
      <c r="P325" s="35" t="s">
        <v>1803</v>
      </c>
      <c r="Q325" s="47" t="s">
        <v>2288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1939</v>
      </c>
      <c r="D326" s="42" t="s">
        <v>2089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3" t="s">
        <v>2090</v>
      </c>
      <c r="O326" s="35" t="str">
        <f>IFERROR(VLOOKUP($G326,[1]DB2!$A:$B,2,0),"공동과책 확인")</f>
        <v>Lee, Moonhwan</v>
      </c>
      <c r="P326" s="35" t="s">
        <v>1804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1940</v>
      </c>
      <c r="D327" s="42" t="s">
        <v>2091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3" t="s">
        <v>2338</v>
      </c>
      <c r="O327" s="35" t="str">
        <f>IFERROR(VLOOKUP($G327,[1]DB2!$A:$B,2,0),"공동과책 확인")</f>
        <v>Kim, Hyo Gyeom</v>
      </c>
      <c r="P327" s="35" t="s">
        <v>1800</v>
      </c>
      <c r="Q327" s="35" t="s">
        <v>1804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1941</v>
      </c>
      <c r="D328" s="42" t="s">
        <v>2092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3" t="s">
        <v>2339</v>
      </c>
      <c r="O328" s="35" t="str">
        <f>IFERROR(VLOOKUP($G328,[1]DB2!$A:$B,2,0),"공동과책 확인")</f>
        <v xml:space="preserve">Heo, Namjoo </v>
      </c>
      <c r="P328" s="35" t="s">
        <v>1800</v>
      </c>
      <c r="Q328" s="35" t="s">
        <v>2263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1942</v>
      </c>
      <c r="D329" s="42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3" t="s">
        <v>2222</v>
      </c>
      <c r="O329" s="35" t="str">
        <f>IFERROR(VLOOKUP($G329,[1]DB2!$A:$B,2,0),"공동과책 확인")</f>
        <v>Lee, Sangbum</v>
      </c>
      <c r="P329" s="35" t="s">
        <v>1799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1943</v>
      </c>
      <c r="D330" s="42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3" t="s">
        <v>2223</v>
      </c>
      <c r="O330" s="35" t="str">
        <f>IFERROR(VLOOKUP($G330,[1]DB2!$A:$B,2,0),"공동과책 확인")</f>
        <v>Lee, Sangbum</v>
      </c>
      <c r="P330" s="35" t="s">
        <v>1799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1944</v>
      </c>
      <c r="D331" s="42" t="s">
        <v>2093</v>
      </c>
      <c r="E331" s="19"/>
      <c r="F331" s="19" t="s">
        <v>1945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3" t="s">
        <v>2224</v>
      </c>
      <c r="O331" s="35" t="str">
        <f>IFERROR(VLOOKUP($G331,[1]DB2!$A:$B,2,0),"공동과책 확인")</f>
        <v>Shim, Changsub</v>
      </c>
      <c r="P331" s="35" t="s">
        <v>1802</v>
      </c>
      <c r="Q331" s="35" t="s">
        <v>2264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1946</v>
      </c>
      <c r="D332" s="42" t="s">
        <v>2094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3" t="s">
        <v>2313</v>
      </c>
      <c r="O332" s="35" t="str">
        <f>IFERROR(VLOOKUP($G332,[1]DB2!$A:$B,2,0),"공동과책 확인")</f>
        <v>Kim, Hyunno</v>
      </c>
      <c r="P332" s="35" t="s">
        <v>1803</v>
      </c>
      <c r="Q332" s="35" t="s">
        <v>2262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1947</v>
      </c>
      <c r="D333" s="42" t="s">
        <v>2095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8" t="s">
        <v>2379</v>
      </c>
      <c r="O333" s="35" t="str">
        <f>IFERROR(VLOOKUP($G333,[1]DB2!$A:$B,2,0),"공동과책 확인")</f>
        <v xml:space="preserve">Jung, Dawoon </v>
      </c>
      <c r="P333" s="35" t="s">
        <v>2288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1948</v>
      </c>
      <c r="D334" s="42" t="s">
        <v>2096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3" t="s">
        <v>2097</v>
      </c>
      <c r="O334" s="35" t="str">
        <f>IFERROR(VLOOKUP($G334,[1]DB2!$A:$B,2,0),"공동과책 확인")</f>
        <v>Choi, Hee-Sun</v>
      </c>
      <c r="P334" s="35" t="s">
        <v>2262</v>
      </c>
      <c r="Q334" s="35" t="s">
        <v>2263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1949</v>
      </c>
      <c r="D335" s="42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3" t="s">
        <v>2225</v>
      </c>
      <c r="O335" s="35" t="str">
        <f>IFERROR(VLOOKUP($G335,[1]DB2!$A:$B,2,0),"공동과책 확인")</f>
        <v>Park, Jun Hyun</v>
      </c>
      <c r="P335" s="35" t="s">
        <v>2266</v>
      </c>
      <c r="Q335" s="35" t="s">
        <v>2265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1889</v>
      </c>
      <c r="D336" s="42" t="s">
        <v>1890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1891</v>
      </c>
      <c r="N336" s="43" t="s">
        <v>2226</v>
      </c>
      <c r="O336" s="35" t="str">
        <f>IFERROR(VLOOKUP($G336,[1]DB2!$A:$B,2,0),"공동과책 확인")</f>
        <v>Jo, Ji Hye</v>
      </c>
      <c r="P336" s="35" t="s">
        <v>2162</v>
      </c>
      <c r="Q336" s="35" t="s">
        <v>2266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1897</v>
      </c>
      <c r="D337" s="42" t="s">
        <v>2098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3" t="s">
        <v>2099</v>
      </c>
      <c r="O337" s="35" t="str">
        <f>IFERROR(VLOOKUP($G337,[1]DB2!$A:$B,2,0),"공동과책 확인")</f>
        <v>Ryu, Jaena</v>
      </c>
      <c r="P337" s="35" t="s">
        <v>1804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1898</v>
      </c>
      <c r="D338" s="42" t="s">
        <v>2100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1821</v>
      </c>
      <c r="N338" s="43" t="s">
        <v>2101</v>
      </c>
      <c r="O338" s="35" t="str">
        <f>IFERROR(VLOOKUP($G338,[1]DB2!$A:$B,2,0),"공동과책 확인")</f>
        <v>Lee, Seungmin</v>
      </c>
      <c r="P338" s="35" t="s">
        <v>2262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1899</v>
      </c>
      <c r="D339" s="42" t="s">
        <v>2102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3" t="s">
        <v>2103</v>
      </c>
      <c r="O339" s="35" t="str">
        <f>IFERROR(VLOOKUP($G339,[1]DB2!$A:$B,2,0),"공동과책 확인")</f>
        <v>Park, Chang Sug</v>
      </c>
      <c r="P339" s="35" t="s">
        <v>2266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1900</v>
      </c>
      <c r="D340" s="42" t="s">
        <v>2104</v>
      </c>
      <c r="E340" s="19"/>
      <c r="F340" s="19" t="s">
        <v>1901</v>
      </c>
      <c r="G340" s="23" t="s">
        <v>1902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1825</v>
      </c>
      <c r="N340" s="43" t="s">
        <v>2105</v>
      </c>
      <c r="O340" s="35" t="str">
        <f>IFERROR(VLOOKUP($G340,[1]DB2!$A:$B,2,0),"공동과책 확인")</f>
        <v xml:space="preserve">Kim, Dohyeong </v>
      </c>
      <c r="P340" s="35" t="s">
        <v>1799</v>
      </c>
      <c r="Q340" s="35" t="s">
        <v>2262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1903</v>
      </c>
      <c r="D341" s="42" t="s">
        <v>2106</v>
      </c>
      <c r="E341" s="19"/>
      <c r="F341" s="19" t="s">
        <v>1904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1821</v>
      </c>
      <c r="N341" s="43" t="s">
        <v>2107</v>
      </c>
      <c r="O341" s="35" t="str">
        <f>IFERROR(VLOOKUP($G341,[1]DB2!$A:$B,2,0),"공동과책 확인")</f>
        <v xml:space="preserve">Lim, Hyungwoo </v>
      </c>
      <c r="P341" s="35" t="s">
        <v>1803</v>
      </c>
      <c r="Q341" s="35" t="s">
        <v>2262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1905</v>
      </c>
      <c r="D342" s="42" t="s">
        <v>2108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3" t="s">
        <v>2109</v>
      </c>
      <c r="O342" s="35" t="str">
        <f>IFERROR(VLOOKUP($G342,[1]DB2!$A:$B,2,0),"공동과책 확인")</f>
        <v>Jeon, Dongjin</v>
      </c>
      <c r="P342" s="35" t="s">
        <v>1803</v>
      </c>
      <c r="Q342" s="35" t="s">
        <v>1804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1950</v>
      </c>
      <c r="D343" s="42" t="s">
        <v>2110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3" t="s">
        <v>2315</v>
      </c>
      <c r="O343" s="35" t="str">
        <f>IFERROR(VLOOKUP($G343,[1]DB2!$A:$B,2,0),"공동과책 확인")</f>
        <v xml:space="preserve"> Lim, Miyoung</v>
      </c>
      <c r="P343" s="35" t="s">
        <v>2288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1951</v>
      </c>
      <c r="D344" s="42" t="s">
        <v>2111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3" t="s">
        <v>2314</v>
      </c>
      <c r="O344" s="35" t="str">
        <f>IFERROR(VLOOKUP($G344,[1]DB2!$A:$B,2,0),"공동과책 확인")</f>
        <v>Lee, Ji-Young</v>
      </c>
      <c r="P344" s="35" t="s">
        <v>2263</v>
      </c>
      <c r="Q344" s="35" t="s">
        <v>1800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1952</v>
      </c>
      <c r="D345" s="42" t="s">
        <v>2112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3" t="s">
        <v>2317</v>
      </c>
      <c r="O345" s="35" t="str">
        <f>IFERROR(VLOOKUP($G345,[1]DB2!$A:$B,2,0),"공동과책 확인")</f>
        <v>Kim, Yoonjung</v>
      </c>
      <c r="P345" s="35" t="s">
        <v>1800</v>
      </c>
      <c r="Q345" s="35" t="s">
        <v>1801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2128</v>
      </c>
      <c r="D346" s="29" t="s">
        <v>2158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2159</v>
      </c>
      <c r="N346" s="40" t="s">
        <v>2160</v>
      </c>
      <c r="O346" s="35" t="str">
        <f>IFERROR(VLOOKUP($G346,[1]DB2!$A:$B,2,0),"공동과책 확인")</f>
        <v>Cho, Hanna</v>
      </c>
      <c r="P346" s="35" t="s">
        <v>1801</v>
      </c>
      <c r="Q346" s="35" t="s">
        <v>2265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2129</v>
      </c>
      <c r="D347" s="29" t="s">
        <v>2165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0" t="s">
        <v>2166</v>
      </c>
      <c r="O347" s="35" t="str">
        <f>IFERROR(VLOOKUP($G347,[1]DB2!$A:$B,2,0),"공동과책 확인")</f>
        <v>Kim, Choong-ki</v>
      </c>
      <c r="P347" s="35" t="s">
        <v>1801</v>
      </c>
      <c r="Q347" s="35" t="s">
        <v>2290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2130</v>
      </c>
      <c r="D348" s="29" t="s">
        <v>2167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0" t="s">
        <v>2304</v>
      </c>
      <c r="O348" s="35" t="str">
        <f>IFERROR(VLOOKUP($G348,[1]DB2!$A:$B,2,0),"공동과책 확인")</f>
        <v xml:space="preserve">Jung, Kichul </v>
      </c>
      <c r="P348" s="35" t="s">
        <v>1804</v>
      </c>
      <c r="Q348" s="35" t="s">
        <v>1803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2131</v>
      </c>
      <c r="D349" s="29" t="s">
        <v>2168</v>
      </c>
      <c r="E349" s="29"/>
      <c r="F349" s="29" t="s">
        <v>2132</v>
      </c>
      <c r="G349" s="32" t="s">
        <v>2133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2134</v>
      </c>
      <c r="N349" s="40" t="s">
        <v>2170</v>
      </c>
      <c r="O349" s="35" t="str">
        <f>IFERROR(VLOOKUP($G349,[1]DB2!$A:$B,2,0),"공동과책 확인")</f>
        <v xml:space="preserve">Choi, Hyun-Jin </v>
      </c>
      <c r="P349" s="35" t="s">
        <v>1799</v>
      </c>
      <c r="Q349" s="35" t="s">
        <v>1803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2135</v>
      </c>
      <c r="D350" s="29" t="s">
        <v>2169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2136</v>
      </c>
      <c r="N350" s="40" t="s">
        <v>2171</v>
      </c>
      <c r="O350" s="35" t="str">
        <f>IFERROR(VLOOKUP($G350,[1]DB2!$A:$B,2,0),"공동과책 확인")</f>
        <v>Ahn, Jongho</v>
      </c>
      <c r="P350" s="35" t="s">
        <v>1804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2137</v>
      </c>
      <c r="D351" s="29" t="s">
        <v>2172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2138</v>
      </c>
      <c r="N351" s="40" t="s">
        <v>2173</v>
      </c>
      <c r="O351" s="35" t="str">
        <f>IFERROR(VLOOKUP($G351,[1]DB2!$A:$B,2,0),"공동과책 확인")</f>
        <v>Shin, Dong Won</v>
      </c>
      <c r="P351" s="35" t="s">
        <v>2262</v>
      </c>
      <c r="Q351" s="35" t="s">
        <v>2266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2139</v>
      </c>
      <c r="D352" s="29" t="s">
        <v>2174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0" t="s">
        <v>2322</v>
      </c>
      <c r="O352" s="35" t="str">
        <f>IFERROR(VLOOKUP($G352,[1]DB2!$A:$B,2,0),"공동과책 확인")</f>
        <v>Lee, Sunmin</v>
      </c>
      <c r="P352" s="35" t="s">
        <v>1804</v>
      </c>
      <c r="Q352" s="35" t="s">
        <v>2264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2140</v>
      </c>
      <c r="C353" s="32" t="s">
        <v>2141</v>
      </c>
      <c r="D353" s="29" t="s">
        <v>2175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0" t="s">
        <v>2176</v>
      </c>
      <c r="O353" s="35" t="str">
        <f>IFERROR(VLOOKUP($G353,[1]DB2!$A:$B,2,0),"공동과책 확인")</f>
        <v xml:space="preserve">Moon, Jongwoo </v>
      </c>
      <c r="P353" s="35" t="s">
        <v>1801</v>
      </c>
      <c r="Q353" s="35" t="s">
        <v>2265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2140</v>
      </c>
      <c r="C354" s="32" t="s">
        <v>2142</v>
      </c>
      <c r="D354" s="29" t="s">
        <v>2177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0" t="s">
        <v>2178</v>
      </c>
      <c r="O354" s="35" t="str">
        <f>IFERROR(VLOOKUP($G354,[1]DB2!$A:$B,2,0),"공동과책 확인")</f>
        <v>Lim, Hyesook</v>
      </c>
      <c r="P354" s="35" t="s">
        <v>1803</v>
      </c>
      <c r="Q354" s="35" t="s">
        <v>2162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2140</v>
      </c>
      <c r="C355" s="32" t="s">
        <v>2143</v>
      </c>
      <c r="D355" s="29" t="s">
        <v>2179</v>
      </c>
      <c r="E355" s="29"/>
      <c r="F355" s="29" t="s">
        <v>1867</v>
      </c>
      <c r="G355" s="32" t="s">
        <v>1868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0" t="s">
        <v>2333</v>
      </c>
      <c r="O355" s="35" t="str">
        <f>IFERROR(VLOOKUP($G355,[1]DB2!$A:$B,2,0),"공동과책 확인")</f>
        <v>Jeong, Yunsun</v>
      </c>
      <c r="P355" s="35" t="s">
        <v>2288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2140</v>
      </c>
      <c r="C356" s="32" t="s">
        <v>2144</v>
      </c>
      <c r="D356" s="29" t="s">
        <v>2180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0" t="s">
        <v>2332</v>
      </c>
      <c r="O356" s="35" t="str">
        <f>IFERROR(VLOOKUP($G356,[1]DB2!$A:$B,2,0),"공동과책 확인")</f>
        <v>Lee, Who-Seung</v>
      </c>
      <c r="P356" s="35" t="s">
        <v>1800</v>
      </c>
      <c r="Q356" s="35" t="s">
        <v>2265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2140</v>
      </c>
      <c r="C357" s="32" t="s">
        <v>2145</v>
      </c>
      <c r="D357" s="29" t="s">
        <v>2181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0" t="s">
        <v>2182</v>
      </c>
      <c r="O357" s="35" t="str">
        <f>IFERROR(VLOOKUP($G357,[1]DB2!$A:$B,2,0),"공동과책 확인")</f>
        <v>Kim, Ikjae</v>
      </c>
      <c r="P357" s="35" t="s">
        <v>1804</v>
      </c>
      <c r="Q357" s="35" t="s">
        <v>2266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2140</v>
      </c>
      <c r="C358" s="32" t="s">
        <v>2146</v>
      </c>
      <c r="D358" s="29" t="s">
        <v>2183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0" t="s">
        <v>2389</v>
      </c>
      <c r="O358" s="35" t="str">
        <f>IFERROR(VLOOKUP($G358,[1]DB2!$A:$B,2,0),"공동과책 확인")</f>
        <v>Kim, Hojeong</v>
      </c>
      <c r="P358" s="35" t="s">
        <v>1804</v>
      </c>
      <c r="Q358" s="35" t="s">
        <v>2263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2140</v>
      </c>
      <c r="C359" s="32" t="s">
        <v>2147</v>
      </c>
      <c r="D359" s="29" t="s">
        <v>2184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0" t="s">
        <v>2185</v>
      </c>
      <c r="O359" s="35" t="str">
        <f>IFERROR(VLOOKUP($G359,[1]DB2!$A:$B,2,0),"공동과책 확인")</f>
        <v>Jeon, Dongjin</v>
      </c>
      <c r="P359" s="35" t="s">
        <v>1804</v>
      </c>
      <c r="Q359" s="35" t="s">
        <v>1803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2140</v>
      </c>
      <c r="C360" s="32" t="s">
        <v>2148</v>
      </c>
      <c r="D360" s="29" t="s">
        <v>2186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0" t="s">
        <v>2187</v>
      </c>
      <c r="O360" s="35" t="str">
        <f>IFERROR(VLOOKUP($G360,[1]DB2!$A:$B,2,0),"공동과책 확인")</f>
        <v>Choi, Mikyoung</v>
      </c>
      <c r="P360" s="35" t="s">
        <v>1800</v>
      </c>
      <c r="Q360" s="35" t="s">
        <v>1804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2140</v>
      </c>
      <c r="C361" s="32" t="s">
        <v>2149</v>
      </c>
      <c r="D361" s="29" t="s">
        <v>2188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0" t="s">
        <v>2189</v>
      </c>
      <c r="O361" s="35" t="str">
        <f>IFERROR(VLOOKUP($G361,[1]DB2!$A:$B,2,0),"공동과책 확인")</f>
        <v>Han, Daeho</v>
      </c>
      <c r="P361" s="35" t="s">
        <v>1804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2140</v>
      </c>
      <c r="C362" s="32" t="s">
        <v>2150</v>
      </c>
      <c r="D362" s="29" t="s">
        <v>2190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0" t="s">
        <v>2380</v>
      </c>
      <c r="O362" s="35" t="str">
        <f>IFERROR(VLOOKUP($G362,[1]DB2!$A:$B,2,0),"공동과책 확인")</f>
        <v xml:space="preserve">Kim, Taehyun </v>
      </c>
      <c r="P362" s="35" t="s">
        <v>2263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2140</v>
      </c>
      <c r="C363" s="32" t="s">
        <v>2151</v>
      </c>
      <c r="D363" s="29" t="s">
        <v>2191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0" t="s">
        <v>2192</v>
      </c>
      <c r="O363" s="35" t="str">
        <f>IFERROR(VLOOKUP($G363,[1]DB2!$A:$B,2,0),"공동과책 확인")</f>
        <v>Lee, Sangyun</v>
      </c>
      <c r="P363" s="35" t="s">
        <v>1799</v>
      </c>
      <c r="Q363" s="35" t="s">
        <v>2266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2140</v>
      </c>
      <c r="C364" s="32" t="s">
        <v>2152</v>
      </c>
      <c r="D364" s="29" t="s">
        <v>2193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0" t="s">
        <v>2194</v>
      </c>
      <c r="O364" s="35" t="str">
        <f>IFERROR(VLOOKUP($G364,[1]DB2!$A:$B,2,0),"공동과책 확인")</f>
        <v xml:space="preserve">Heo, Namjoo </v>
      </c>
      <c r="P364" s="35" t="s">
        <v>1799</v>
      </c>
      <c r="Q364" s="35" t="s">
        <v>2291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2140</v>
      </c>
      <c r="C365" s="32" t="s">
        <v>2153</v>
      </c>
      <c r="D365" s="29" t="s">
        <v>2195</v>
      </c>
      <c r="E365" s="29"/>
      <c r="F365" s="29" t="s">
        <v>2154</v>
      </c>
      <c r="G365" s="32" t="s">
        <v>2155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0" t="s">
        <v>2196</v>
      </c>
      <c r="O365" s="35" t="str">
        <f>IFERROR(VLOOKUP($G365,[1]DB2!$A:$B,2,0),"공동과책 확인")</f>
        <v>Kwon, Sunyong</v>
      </c>
      <c r="P365" s="35" t="s">
        <v>2262</v>
      </c>
      <c r="Q365" s="35" t="s">
        <v>1799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97:S234 R1:S109 R236:S365 R123:S19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workbookViewId="0">
      <selection activeCell="F16" sqref="F16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2114</v>
      </c>
      <c r="G10" s="11" t="s">
        <v>2115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2113</v>
      </c>
      <c r="G12" s="11" t="s">
        <v>2116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2119</v>
      </c>
      <c r="G14" s="11" t="s">
        <v>2120</v>
      </c>
      <c r="H14" s="11" t="s">
        <v>2117</v>
      </c>
      <c r="I14" s="11" t="s">
        <v>2118</v>
      </c>
    </row>
    <row r="15" spans="1:9">
      <c r="A15" s="7" t="s">
        <v>1043</v>
      </c>
      <c r="B15" s="7" t="s">
        <v>1044</v>
      </c>
      <c r="F15" s="11" t="s">
        <v>2121</v>
      </c>
      <c r="G15" s="11" t="s">
        <v>2122</v>
      </c>
      <c r="H15" s="11" t="s">
        <v>2117</v>
      </c>
      <c r="I15" s="11" t="s">
        <v>2118</v>
      </c>
    </row>
    <row r="16" spans="1:9">
      <c r="A16" s="6" t="s">
        <v>604</v>
      </c>
      <c r="B16" s="7" t="s">
        <v>1045</v>
      </c>
      <c r="F16" s="11" t="s">
        <v>2385</v>
      </c>
      <c r="G16" s="11" t="s">
        <v>2386</v>
      </c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2381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2025</v>
      </c>
      <c r="I53" s="11"/>
    </row>
    <row r="54" spans="1:9">
      <c r="A54" s="6" t="s">
        <v>1110</v>
      </c>
      <c r="B54" s="7" t="s">
        <v>1111</v>
      </c>
      <c r="F54" s="11" t="s">
        <v>2382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45" t="s">
        <v>2384</v>
      </c>
      <c r="G56" s="45" t="s">
        <v>2383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2341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총괄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2026-05-07T04:13:08Z</dcterms:modified>
</cp:coreProperties>
</file>