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FDB2C6D6-5151-4D95-9B48-D81812AF1FF1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9" i="1" l="1" a="1"/>
  <c r="B389" i="1" s="1"/>
  <c r="C389" i="1"/>
  <c r="E389" i="1"/>
  <c r="F389" i="1"/>
  <c r="G389" i="1"/>
  <c r="H389" i="1"/>
  <c r="B390" i="1" a="1"/>
  <c r="B390" i="1" s="1"/>
  <c r="C390" i="1"/>
  <c r="E390" i="1"/>
  <c r="F390" i="1"/>
  <c r="G390" i="1"/>
  <c r="H390" i="1"/>
  <c r="B391" i="1" a="1"/>
  <c r="B391" i="1"/>
  <c r="C391" i="1"/>
  <c r="D391" i="1"/>
  <c r="E391" i="1"/>
  <c r="F391" i="1"/>
  <c r="G391" i="1"/>
  <c r="H391" i="1"/>
  <c r="B392" i="1" a="1"/>
  <c r="B392" i="1" s="1"/>
  <c r="C392" i="1"/>
  <c r="D392" i="1"/>
  <c r="E392" i="1"/>
  <c r="F392" i="1"/>
  <c r="G392" i="1"/>
  <c r="H392" i="1"/>
  <c r="B393" i="1" a="1"/>
  <c r="B393" i="1"/>
  <c r="C393" i="1"/>
  <c r="E393" i="1"/>
  <c r="F393" i="1"/>
  <c r="G393" i="1"/>
  <c r="H393" i="1"/>
  <c r="B394" i="1" a="1"/>
  <c r="B394" i="1" s="1"/>
  <c r="C394" i="1"/>
  <c r="E394" i="1"/>
  <c r="F394" i="1"/>
  <c r="G394" i="1"/>
  <c r="H394" i="1"/>
  <c r="B395" i="1" a="1"/>
  <c r="B395" i="1"/>
  <c r="C395" i="1"/>
  <c r="E395" i="1"/>
  <c r="F395" i="1"/>
  <c r="G395" i="1"/>
  <c r="H395" i="1"/>
  <c r="B396" i="1" a="1"/>
  <c r="B396" i="1"/>
  <c r="C396" i="1"/>
  <c r="D396" i="1"/>
  <c r="E396" i="1"/>
  <c r="F396" i="1"/>
  <c r="G396" i="1"/>
  <c r="H396" i="1"/>
  <c r="B397" i="1" a="1"/>
  <c r="B397" i="1"/>
  <c r="C397" i="1"/>
  <c r="E397" i="1"/>
  <c r="F397" i="1"/>
  <c r="G397" i="1"/>
  <c r="H397" i="1"/>
  <c r="B398" i="1" a="1"/>
  <c r="B398" i="1" s="1"/>
  <c r="C398" i="1"/>
  <c r="D398" i="1"/>
  <c r="E398" i="1"/>
  <c r="F398" i="1"/>
  <c r="G398" i="1"/>
  <c r="H398" i="1"/>
  <c r="B399" i="1" a="1"/>
  <c r="B399" i="1" s="1"/>
  <c r="C399" i="1"/>
  <c r="D399" i="1"/>
  <c r="E399" i="1"/>
  <c r="F399" i="1"/>
  <c r="G399" i="1"/>
  <c r="H399" i="1"/>
  <c r="B400" i="1" a="1"/>
  <c r="B400" i="1"/>
  <c r="C400" i="1"/>
  <c r="E400" i="1"/>
  <c r="F400" i="1"/>
  <c r="G400" i="1"/>
  <c r="H400" i="1"/>
  <c r="B401" i="1" a="1"/>
  <c r="B401" i="1" s="1"/>
  <c r="C401" i="1"/>
  <c r="D401" i="1"/>
  <c r="E401" i="1"/>
  <c r="F401" i="1"/>
  <c r="G401" i="1"/>
  <c r="H401" i="1"/>
  <c r="B402" i="1" a="1"/>
  <c r="B402" i="1"/>
  <c r="C402" i="1"/>
  <c r="D402" i="1"/>
  <c r="E402" i="1"/>
  <c r="F402" i="1"/>
  <c r="G402" i="1"/>
  <c r="H402" i="1"/>
  <c r="B403" i="1" a="1"/>
  <c r="B403" i="1" s="1"/>
  <c r="C403" i="1"/>
  <c r="D403" i="1"/>
  <c r="E403" i="1"/>
  <c r="F403" i="1"/>
  <c r="G403" i="1"/>
  <c r="H403" i="1"/>
  <c r="B404" i="1" a="1"/>
  <c r="B404" i="1"/>
  <c r="C404" i="1"/>
  <c r="E404" i="1"/>
  <c r="F404" i="1"/>
  <c r="G404" i="1"/>
  <c r="H404" i="1"/>
  <c r="B405" i="1" a="1"/>
  <c r="B405" i="1"/>
  <c r="C405" i="1"/>
  <c r="D405" i="1"/>
  <c r="E405" i="1"/>
  <c r="F405" i="1"/>
  <c r="G405" i="1"/>
  <c r="H405" i="1"/>
  <c r="B406" i="1" a="1"/>
  <c r="B406" i="1" s="1"/>
  <c r="C406" i="1"/>
  <c r="E406" i="1"/>
  <c r="F406" i="1"/>
  <c r="G406" i="1"/>
  <c r="H406" i="1"/>
  <c r="B407" i="1" a="1"/>
  <c r="B407" i="1" s="1"/>
  <c r="C407" i="1"/>
  <c r="E407" i="1"/>
  <c r="F407" i="1"/>
  <c r="G407" i="1"/>
  <c r="H407" i="1"/>
  <c r="B408" i="1" a="1"/>
  <c r="B408" i="1"/>
  <c r="C408" i="1"/>
  <c r="D408" i="1"/>
  <c r="E408" i="1"/>
  <c r="F408" i="1"/>
  <c r="G408" i="1"/>
  <c r="H408" i="1"/>
  <c r="B409" i="1" a="1"/>
  <c r="B409" i="1"/>
  <c r="C409" i="1"/>
  <c r="D409" i="1"/>
  <c r="E409" i="1"/>
  <c r="F409" i="1"/>
  <c r="G409" i="1"/>
  <c r="H409" i="1"/>
  <c r="B410" i="1" a="1"/>
  <c r="B410" i="1"/>
  <c r="C410" i="1"/>
  <c r="E410" i="1"/>
  <c r="F410" i="1"/>
  <c r="G410" i="1"/>
  <c r="H410" i="1"/>
  <c r="B411" i="1" a="1"/>
  <c r="B411" i="1" s="1"/>
  <c r="C411" i="1"/>
  <c r="D411" i="1"/>
  <c r="E411" i="1"/>
  <c r="F411" i="1"/>
  <c r="G411" i="1"/>
  <c r="H411" i="1"/>
  <c r="B412" i="1" a="1"/>
  <c r="B412" i="1" s="1"/>
  <c r="C412" i="1"/>
  <c r="E412" i="1"/>
  <c r="F412" i="1"/>
  <c r="G412" i="1"/>
  <c r="H412" i="1"/>
  <c r="B413" i="1" a="1"/>
  <c r="B413" i="1"/>
  <c r="C413" i="1"/>
  <c r="D413" i="1"/>
  <c r="E413" i="1"/>
  <c r="F413" i="1"/>
  <c r="G413" i="1"/>
  <c r="H413" i="1"/>
  <c r="B414" i="1" a="1"/>
  <c r="B414" i="1"/>
  <c r="C414" i="1"/>
  <c r="E414" i="1"/>
  <c r="F414" i="1"/>
  <c r="G414" i="1"/>
  <c r="H414" i="1"/>
  <c r="B415" i="1" a="1"/>
  <c r="B415" i="1"/>
  <c r="C415" i="1"/>
  <c r="E415" i="1"/>
  <c r="F415" i="1"/>
  <c r="G415" i="1"/>
  <c r="H415" i="1"/>
  <c r="B416" i="1" a="1"/>
  <c r="B416" i="1" s="1"/>
  <c r="C416" i="1"/>
  <c r="D416" i="1"/>
  <c r="E416" i="1"/>
  <c r="F416" i="1"/>
  <c r="G416" i="1"/>
  <c r="H416" i="1"/>
  <c r="B417" i="1" a="1"/>
  <c r="B417" i="1"/>
  <c r="C417" i="1"/>
  <c r="E417" i="1"/>
  <c r="F417" i="1"/>
  <c r="G417" i="1"/>
  <c r="H417" i="1"/>
  <c r="H388" i="1"/>
  <c r="G388" i="1"/>
  <c r="F388" i="1"/>
  <c r="E388" i="1"/>
  <c r="C388" i="1"/>
  <c r="B388" i="1" a="1"/>
  <c r="B388" i="1" s="1"/>
  <c r="H387" i="1"/>
  <c r="G387" i="1"/>
  <c r="F387" i="1"/>
  <c r="E387" i="1"/>
  <c r="D387" i="1"/>
  <c r="C387" i="1"/>
  <c r="B387" i="1" a="1"/>
  <c r="B387" i="1" s="1"/>
  <c r="H386" i="1"/>
  <c r="G386" i="1"/>
  <c r="F386" i="1"/>
  <c r="E386" i="1"/>
  <c r="C386" i="1"/>
  <c r="B386" i="1" a="1"/>
  <c r="B386" i="1" s="1"/>
  <c r="H385" i="1"/>
  <c r="G385" i="1"/>
  <c r="F385" i="1"/>
  <c r="E385" i="1"/>
  <c r="D385" i="1"/>
  <c r="C385" i="1"/>
  <c r="B385" i="1" a="1"/>
  <c r="B385" i="1" s="1"/>
  <c r="H384" i="1"/>
  <c r="G384" i="1"/>
  <c r="F384" i="1"/>
  <c r="E384" i="1"/>
  <c r="C384" i="1"/>
  <c r="B384" i="1" a="1"/>
  <c r="B384" i="1" s="1"/>
  <c r="H383" i="1"/>
  <c r="G383" i="1"/>
  <c r="F383" i="1"/>
  <c r="E383" i="1"/>
  <c r="D383" i="1"/>
  <c r="C383" i="1"/>
  <c r="B383" i="1" a="1"/>
  <c r="B383" i="1" s="1"/>
  <c r="H382" i="1"/>
  <c r="G382" i="1"/>
  <c r="F382" i="1"/>
  <c r="E382" i="1"/>
  <c r="D382" i="1"/>
  <c r="C382" i="1"/>
  <c r="B382" i="1" a="1"/>
  <c r="B382" i="1" s="1"/>
  <c r="H381" i="1"/>
  <c r="G381" i="1"/>
  <c r="F381" i="1"/>
  <c r="E381" i="1"/>
  <c r="C381" i="1"/>
  <c r="B381" i="1" a="1"/>
  <c r="B381" i="1" s="1"/>
  <c r="H380" i="1"/>
  <c r="G380" i="1"/>
  <c r="F380" i="1"/>
  <c r="E380" i="1"/>
  <c r="C380" i="1"/>
  <c r="B380" i="1" a="1"/>
  <c r="B380" i="1" s="1"/>
  <c r="H379" i="1"/>
  <c r="G379" i="1"/>
  <c r="F379" i="1"/>
  <c r="E379" i="1"/>
  <c r="D379" i="1"/>
  <c r="C379" i="1"/>
  <c r="B379" i="1" a="1"/>
  <c r="B379" i="1" s="1"/>
  <c r="H378" i="1"/>
  <c r="G378" i="1"/>
  <c r="F378" i="1"/>
  <c r="E378" i="1"/>
  <c r="C378" i="1"/>
  <c r="B378" i="1" a="1"/>
  <c r="B378" i="1" s="1"/>
  <c r="H377" i="1"/>
  <c r="G377" i="1"/>
  <c r="F377" i="1"/>
  <c r="E377" i="1"/>
  <c r="C377" i="1"/>
  <c r="B377" i="1" a="1"/>
  <c r="B377" i="1" s="1"/>
  <c r="H376" i="1"/>
  <c r="G376" i="1"/>
  <c r="F376" i="1"/>
  <c r="E376" i="1"/>
  <c r="D376" i="1"/>
  <c r="C376" i="1"/>
  <c r="B376" i="1" a="1"/>
  <c r="B376" i="1" s="1"/>
  <c r="H375" i="1"/>
  <c r="G375" i="1"/>
  <c r="F375" i="1"/>
  <c r="E375" i="1"/>
  <c r="C375" i="1"/>
  <c r="B375" i="1" a="1"/>
  <c r="B375" i="1" s="1"/>
  <c r="H374" i="1"/>
  <c r="G374" i="1"/>
  <c r="F374" i="1"/>
  <c r="E374" i="1"/>
  <c r="C374" i="1"/>
  <c r="B374" i="1" a="1"/>
  <c r="B374" i="1" s="1"/>
  <c r="H373" i="1"/>
  <c r="G373" i="1"/>
  <c r="F373" i="1"/>
  <c r="E373" i="1"/>
  <c r="C373" i="1"/>
  <c r="B373" i="1" a="1"/>
  <c r="B373" i="1" s="1"/>
  <c r="H372" i="1"/>
  <c r="G372" i="1"/>
  <c r="F372" i="1"/>
  <c r="E372" i="1"/>
  <c r="D372" i="1"/>
  <c r="C372" i="1"/>
  <c r="B372" i="1" a="1"/>
  <c r="B372" i="1" s="1"/>
  <c r="H371" i="1"/>
  <c r="G371" i="1"/>
  <c r="F371" i="1"/>
  <c r="E371" i="1"/>
  <c r="C371" i="1"/>
  <c r="B371" i="1" a="1"/>
  <c r="B371" i="1" s="1"/>
  <c r="H370" i="1"/>
  <c r="G370" i="1"/>
  <c r="F370" i="1"/>
  <c r="E370" i="1"/>
  <c r="D370" i="1"/>
  <c r="C370" i="1"/>
  <c r="B370" i="1" a="1"/>
  <c r="B370" i="1" s="1"/>
  <c r="H369" i="1"/>
  <c r="G369" i="1"/>
  <c r="F369" i="1"/>
  <c r="E369" i="1"/>
  <c r="C369" i="1"/>
  <c r="B369" i="1" a="1"/>
  <c r="B369" i="1" s="1"/>
  <c r="S414" i="3"/>
  <c r="R414" i="3"/>
  <c r="O414" i="3"/>
  <c r="D417" i="1" s="1"/>
  <c r="S413" i="3"/>
  <c r="R413" i="3"/>
  <c r="O413" i="3"/>
  <c r="S412" i="3"/>
  <c r="R412" i="3"/>
  <c r="O412" i="3"/>
  <c r="D415" i="1" s="1"/>
  <c r="S411" i="3"/>
  <c r="R411" i="3"/>
  <c r="O411" i="3"/>
  <c r="D414" i="1" s="1"/>
  <c r="S410" i="3"/>
  <c r="R410" i="3"/>
  <c r="O410" i="3"/>
  <c r="S409" i="3"/>
  <c r="R409" i="3"/>
  <c r="O409" i="3"/>
  <c r="D412" i="1" s="1"/>
  <c r="S408" i="3"/>
  <c r="R408" i="3"/>
  <c r="O408" i="3"/>
  <c r="O407" i="3"/>
  <c r="D410" i="1" s="1"/>
  <c r="S406" i="3"/>
  <c r="R406" i="3"/>
  <c r="S405" i="3"/>
  <c r="R405" i="3"/>
  <c r="S404" i="3"/>
  <c r="R404" i="3"/>
  <c r="O404" i="3"/>
  <c r="D407" i="1" s="1"/>
  <c r="S403" i="3"/>
  <c r="R403" i="3"/>
  <c r="O403" i="3"/>
  <c r="D406" i="1" s="1"/>
  <c r="S402" i="3"/>
  <c r="R402" i="3"/>
  <c r="O402" i="3"/>
  <c r="S401" i="3"/>
  <c r="R401" i="3"/>
  <c r="O401" i="3"/>
  <c r="D404" i="1" s="1"/>
  <c r="S400" i="3"/>
  <c r="R400" i="3"/>
  <c r="O400" i="3"/>
  <c r="S399" i="3"/>
  <c r="R399" i="3"/>
  <c r="O399" i="3"/>
  <c r="S398" i="3"/>
  <c r="R398" i="3"/>
  <c r="O398" i="3"/>
  <c r="S397" i="3"/>
  <c r="R397" i="3"/>
  <c r="O397" i="3"/>
  <c r="D400" i="1" s="1"/>
  <c r="S396" i="3"/>
  <c r="R396" i="3"/>
  <c r="O396" i="3"/>
  <c r="S395" i="3"/>
  <c r="R395" i="3"/>
  <c r="O395" i="3"/>
  <c r="S394" i="3"/>
  <c r="R394" i="3"/>
  <c r="O394" i="3"/>
  <c r="D397" i="1" s="1"/>
  <c r="S393" i="3"/>
  <c r="R393" i="3"/>
  <c r="O393" i="3"/>
  <c r="S392" i="3"/>
  <c r="R392" i="3"/>
  <c r="O392" i="3"/>
  <c r="D395" i="1" s="1"/>
  <c r="S391" i="3"/>
  <c r="R391" i="3"/>
  <c r="O391" i="3"/>
  <c r="D394" i="1" s="1"/>
  <c r="S390" i="3"/>
  <c r="R390" i="3"/>
  <c r="O390" i="3"/>
  <c r="D393" i="1" s="1"/>
  <c r="S389" i="3"/>
  <c r="R389" i="3"/>
  <c r="O389" i="3"/>
  <c r="S388" i="3"/>
  <c r="R388" i="3"/>
  <c r="O388" i="3"/>
  <c r="S387" i="3"/>
  <c r="R387" i="3"/>
  <c r="O387" i="3"/>
  <c r="D390" i="1" s="1"/>
  <c r="S386" i="3"/>
  <c r="R386" i="3"/>
  <c r="O386" i="3"/>
  <c r="D389" i="1" s="1"/>
  <c r="S385" i="3"/>
  <c r="R385" i="3"/>
  <c r="O385" i="3"/>
  <c r="D388" i="1" s="1"/>
  <c r="S384" i="3"/>
  <c r="R384" i="3"/>
  <c r="O384" i="3"/>
  <c r="S383" i="3"/>
  <c r="R383" i="3"/>
  <c r="O383" i="3"/>
  <c r="D386" i="1" s="1"/>
  <c r="S382" i="3"/>
  <c r="R382" i="3"/>
  <c r="O382" i="3"/>
  <c r="S381" i="3"/>
  <c r="R381" i="3"/>
  <c r="O381" i="3"/>
  <c r="D384" i="1" s="1"/>
  <c r="S380" i="3"/>
  <c r="R380" i="3"/>
  <c r="O380" i="3"/>
  <c r="S379" i="3"/>
  <c r="R379" i="3"/>
  <c r="O379" i="3"/>
  <c r="S378" i="3"/>
  <c r="R378" i="3"/>
  <c r="O378" i="3"/>
  <c r="D381" i="1" s="1"/>
  <c r="S377" i="3"/>
  <c r="R377" i="3"/>
  <c r="O377" i="3"/>
  <c r="D380" i="1" s="1"/>
  <c r="S376" i="3"/>
  <c r="R376" i="3"/>
  <c r="O376" i="3"/>
  <c r="S375" i="3"/>
  <c r="R375" i="3"/>
  <c r="O375" i="3"/>
  <c r="D378" i="1" s="1"/>
  <c r="S374" i="3"/>
  <c r="R374" i="3"/>
  <c r="O374" i="3"/>
  <c r="D377" i="1" s="1"/>
  <c r="S373" i="3"/>
  <c r="R373" i="3"/>
  <c r="O373" i="3"/>
  <c r="S372" i="3"/>
  <c r="R372" i="3"/>
  <c r="O372" i="3"/>
  <c r="D375" i="1" s="1"/>
  <c r="S371" i="3"/>
  <c r="R371" i="3"/>
  <c r="O371" i="3"/>
  <c r="D374" i="1" s="1"/>
  <c r="S370" i="3"/>
  <c r="R370" i="3"/>
  <c r="O370" i="3"/>
  <c r="D373" i="1" s="1"/>
  <c r="S369" i="3"/>
  <c r="R369" i="3"/>
  <c r="O369" i="3"/>
  <c r="S368" i="3"/>
  <c r="R368" i="3"/>
  <c r="O368" i="3"/>
  <c r="D371" i="1" s="1"/>
  <c r="S367" i="3"/>
  <c r="R367" i="3"/>
  <c r="O367" i="3"/>
  <c r="S366" i="3"/>
  <c r="R366" i="3"/>
  <c r="O366" i="3"/>
  <c r="D369" i="1" s="1"/>
  <c r="S180" i="3"/>
  <c r="R180" i="3"/>
  <c r="S179" i="3"/>
  <c r="R179" i="3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 s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 s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 s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 s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 s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 s="1"/>
  <c r="B123" i="1" a="1"/>
  <c r="B123" i="1" s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/>
  <c r="B153" i="1" a="1"/>
  <c r="B153" i="1" s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 s="1"/>
  <c r="B163" i="1" a="1"/>
  <c r="B163" i="1" s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/>
  <c r="B193" i="1" a="1"/>
  <c r="B193" i="1" s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 s="1"/>
  <c r="B203" i="1" a="1"/>
  <c r="B203" i="1" s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/>
  <c r="B233" i="1" a="1"/>
  <c r="B233" i="1" s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 s="1"/>
  <c r="B243" i="1" a="1"/>
  <c r="B243" i="1" s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/>
  <c r="B273" i="1" a="1"/>
  <c r="B273" i="1" s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 s="1"/>
  <c r="B283" i="1" a="1"/>
  <c r="B283" i="1" s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/>
  <c r="B313" i="1" a="1"/>
  <c r="B313" i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 s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 s="1"/>
  <c r="B343" i="1" a="1"/>
  <c r="B343" i="1" s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/>
  <c r="B353" i="1" a="1"/>
  <c r="B353" i="1"/>
  <c r="B354" i="1" a="1"/>
  <c r="B354" i="1" s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 s="1"/>
  <c r="B364" i="1" a="1"/>
  <c r="B364" i="1" s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5" i="3"/>
  <c r="R365" i="3"/>
  <c r="O365" i="3"/>
  <c r="D368" i="1" s="1"/>
  <c r="S364" i="3"/>
  <c r="R364" i="3"/>
  <c r="O364" i="3"/>
  <c r="D367" i="1" s="1"/>
  <c r="S363" i="3"/>
  <c r="R363" i="3"/>
  <c r="O363" i="3"/>
  <c r="D366" i="1" s="1"/>
  <c r="S362" i="3"/>
  <c r="R362" i="3"/>
  <c r="O362" i="3"/>
  <c r="D365" i="1" s="1"/>
  <c r="S361" i="3"/>
  <c r="R361" i="3"/>
  <c r="O361" i="3"/>
  <c r="D364" i="1" s="1"/>
  <c r="S360" i="3"/>
  <c r="R360" i="3"/>
  <c r="O360" i="3"/>
  <c r="D363" i="1" s="1"/>
  <c r="S359" i="3"/>
  <c r="R359" i="3"/>
  <c r="O359" i="3"/>
  <c r="D362" i="1" s="1"/>
  <c r="S358" i="3"/>
  <c r="R358" i="3"/>
  <c r="O358" i="3"/>
  <c r="D361" i="1" s="1"/>
  <c r="S357" i="3"/>
  <c r="R357" i="3"/>
  <c r="O357" i="3"/>
  <c r="D360" i="1" s="1"/>
  <c r="S356" i="3"/>
  <c r="R356" i="3"/>
  <c r="O356" i="3"/>
  <c r="D359" i="1" s="1"/>
  <c r="S355" i="3"/>
  <c r="R355" i="3"/>
  <c r="O355" i="3"/>
  <c r="D358" i="1" s="1"/>
  <c r="S354" i="3"/>
  <c r="R354" i="3"/>
  <c r="O354" i="3"/>
  <c r="D357" i="1" s="1"/>
  <c r="S353" i="3"/>
  <c r="R353" i="3"/>
  <c r="O353" i="3"/>
  <c r="D356" i="1" s="1"/>
  <c r="S352" i="3"/>
  <c r="R352" i="3"/>
  <c r="O352" i="3"/>
  <c r="D355" i="1" s="1"/>
  <c r="S351" i="3"/>
  <c r="R351" i="3"/>
  <c r="O351" i="3"/>
  <c r="D354" i="1" s="1"/>
  <c r="S350" i="3"/>
  <c r="R350" i="3"/>
  <c r="O350" i="3"/>
  <c r="D353" i="1" s="1"/>
  <c r="S349" i="3"/>
  <c r="R349" i="3"/>
  <c r="O349" i="3"/>
  <c r="D352" i="1" s="1"/>
  <c r="S348" i="3"/>
  <c r="R348" i="3"/>
  <c r="O348" i="3"/>
  <c r="D351" i="1" s="1"/>
  <c r="S347" i="3"/>
  <c r="R347" i="3"/>
  <c r="O347" i="3"/>
  <c r="D350" i="1" s="1"/>
  <c r="S346" i="3"/>
  <c r="R346" i="3"/>
  <c r="O346" i="3"/>
  <c r="D349" i="1" s="1"/>
  <c r="S345" i="3"/>
  <c r="R345" i="3"/>
  <c r="O345" i="3"/>
  <c r="D348" i="1" s="1"/>
  <c r="S344" i="3"/>
  <c r="R344" i="3"/>
  <c r="O344" i="3"/>
  <c r="D347" i="1" s="1"/>
  <c r="S343" i="3"/>
  <c r="R343" i="3"/>
  <c r="O343" i="3"/>
  <c r="D346" i="1" s="1"/>
  <c r="S342" i="3"/>
  <c r="R342" i="3"/>
  <c r="O342" i="3"/>
  <c r="D345" i="1" s="1"/>
  <c r="S341" i="3"/>
  <c r="R341" i="3"/>
  <c r="O341" i="3"/>
  <c r="D344" i="1" s="1"/>
  <c r="S340" i="3"/>
  <c r="R340" i="3"/>
  <c r="O340" i="3"/>
  <c r="D343" i="1" s="1"/>
  <c r="S339" i="3"/>
  <c r="R339" i="3"/>
  <c r="O339" i="3"/>
  <c r="D342" i="1" s="1"/>
  <c r="S338" i="3"/>
  <c r="R338" i="3"/>
  <c r="O338" i="3"/>
  <c r="D341" i="1" s="1"/>
  <c r="S337" i="3"/>
  <c r="R337" i="3"/>
  <c r="O337" i="3"/>
  <c r="D340" i="1" s="1"/>
  <c r="S336" i="3"/>
  <c r="R336" i="3"/>
  <c r="O336" i="3"/>
  <c r="D339" i="1" s="1"/>
  <c r="S335" i="3"/>
  <c r="R335" i="3"/>
  <c r="O335" i="3"/>
  <c r="D338" i="1" s="1"/>
  <c r="S334" i="3"/>
  <c r="R334" i="3"/>
  <c r="O334" i="3"/>
  <c r="D337" i="1" s="1"/>
  <c r="S333" i="3"/>
  <c r="R333" i="3"/>
  <c r="O333" i="3"/>
  <c r="D336" i="1" s="1"/>
  <c r="S332" i="3"/>
  <c r="R332" i="3"/>
  <c r="O332" i="3"/>
  <c r="D335" i="1" s="1"/>
  <c r="S331" i="3"/>
  <c r="R331" i="3"/>
  <c r="O331" i="3"/>
  <c r="D334" i="1" s="1"/>
  <c r="S330" i="3"/>
  <c r="R330" i="3"/>
  <c r="O330" i="3"/>
  <c r="D333" i="1" s="1"/>
  <c r="S329" i="3"/>
  <c r="R329" i="3"/>
  <c r="O329" i="3"/>
  <c r="D332" i="1" s="1"/>
  <c r="S328" i="3"/>
  <c r="R328" i="3"/>
  <c r="O328" i="3"/>
  <c r="D331" i="1" s="1"/>
  <c r="S327" i="3"/>
  <c r="R327" i="3"/>
  <c r="O327" i="3"/>
  <c r="D330" i="1" s="1"/>
  <c r="S326" i="3"/>
  <c r="R326" i="3"/>
  <c r="O326" i="3"/>
  <c r="D329" i="1" s="1"/>
  <c r="S325" i="3"/>
  <c r="R325" i="3"/>
  <c r="O325" i="3"/>
  <c r="D328" i="1" s="1"/>
  <c r="S324" i="3"/>
  <c r="R324" i="3"/>
  <c r="O324" i="3"/>
  <c r="D327" i="1" s="1"/>
  <c r="S323" i="3"/>
  <c r="R323" i="3"/>
  <c r="O323" i="3"/>
  <c r="D326" i="1" s="1"/>
  <c r="S322" i="3"/>
  <c r="R322" i="3"/>
  <c r="O322" i="3"/>
  <c r="D325" i="1" s="1"/>
  <c r="S321" i="3"/>
  <c r="R321" i="3"/>
  <c r="O321" i="3"/>
  <c r="D324" i="1" s="1"/>
  <c r="S320" i="3"/>
  <c r="R320" i="3"/>
  <c r="O320" i="3"/>
  <c r="D323" i="1" s="1"/>
  <c r="S319" i="3"/>
  <c r="R319" i="3"/>
  <c r="O319" i="3"/>
  <c r="D322" i="1" s="1"/>
  <c r="S318" i="3"/>
  <c r="R318" i="3"/>
  <c r="O318" i="3"/>
  <c r="D321" i="1" s="1"/>
  <c r="S317" i="3"/>
  <c r="R317" i="3"/>
  <c r="O317" i="3"/>
  <c r="D320" i="1" s="1"/>
  <c r="S316" i="3"/>
  <c r="R316" i="3"/>
  <c r="O316" i="3"/>
  <c r="D319" i="1" s="1"/>
  <c r="S315" i="3"/>
  <c r="R315" i="3"/>
  <c r="O315" i="3"/>
  <c r="D318" i="1" s="1"/>
  <c r="S314" i="3"/>
  <c r="R314" i="3"/>
  <c r="O314" i="3"/>
  <c r="D317" i="1" s="1"/>
  <c r="S313" i="3"/>
  <c r="R313" i="3"/>
  <c r="O313" i="3"/>
  <c r="D316" i="1" s="1"/>
  <c r="S312" i="3"/>
  <c r="R312" i="3"/>
  <c r="O312" i="3"/>
  <c r="D315" i="1" s="1"/>
  <c r="S311" i="3"/>
  <c r="R311" i="3"/>
  <c r="O311" i="3"/>
  <c r="D314" i="1" s="1"/>
  <c r="S310" i="3"/>
  <c r="R310" i="3"/>
  <c r="O310" i="3"/>
  <c r="D313" i="1" s="1"/>
  <c r="S309" i="3"/>
  <c r="R309" i="3"/>
  <c r="O309" i="3"/>
  <c r="D312" i="1" s="1"/>
  <c r="S308" i="3"/>
  <c r="R308" i="3"/>
  <c r="O308" i="3"/>
  <c r="D311" i="1" s="1"/>
  <c r="S307" i="3"/>
  <c r="R307" i="3"/>
  <c r="O307" i="3"/>
  <c r="D310" i="1" s="1"/>
  <c r="S306" i="3"/>
  <c r="R306" i="3"/>
  <c r="O306" i="3"/>
  <c r="D309" i="1" s="1"/>
  <c r="S305" i="3"/>
  <c r="R305" i="3"/>
  <c r="O305" i="3"/>
  <c r="D308" i="1" s="1"/>
  <c r="S304" i="3"/>
  <c r="R304" i="3"/>
  <c r="O304" i="3"/>
  <c r="D307" i="1" s="1"/>
  <c r="S303" i="3"/>
  <c r="R303" i="3"/>
  <c r="O303" i="3"/>
  <c r="D306" i="1" s="1"/>
  <c r="S302" i="3"/>
  <c r="R302" i="3"/>
  <c r="O302" i="3"/>
  <c r="D305" i="1" s="1"/>
  <c r="S301" i="3"/>
  <c r="R301" i="3"/>
  <c r="O301" i="3"/>
  <c r="D304" i="1" s="1"/>
  <c r="S300" i="3"/>
  <c r="R300" i="3"/>
  <c r="O300" i="3"/>
  <c r="D303" i="1" s="1"/>
  <c r="S299" i="3"/>
  <c r="R299" i="3"/>
  <c r="O299" i="3"/>
  <c r="D302" i="1" s="1"/>
  <c r="S298" i="3"/>
  <c r="R298" i="3"/>
  <c r="O298" i="3"/>
  <c r="D301" i="1" s="1"/>
  <c r="S297" i="3"/>
  <c r="R297" i="3"/>
  <c r="O297" i="3"/>
  <c r="D300" i="1" s="1"/>
  <c r="S296" i="3"/>
  <c r="R296" i="3"/>
  <c r="O296" i="3"/>
  <c r="D299" i="1" s="1"/>
  <c r="S295" i="3"/>
  <c r="R295" i="3"/>
  <c r="O295" i="3"/>
  <c r="D298" i="1" s="1"/>
  <c r="S294" i="3"/>
  <c r="R294" i="3"/>
  <c r="O294" i="3"/>
  <c r="D297" i="1" s="1"/>
  <c r="S293" i="3"/>
  <c r="R293" i="3"/>
  <c r="O293" i="3"/>
  <c r="D296" i="1" s="1"/>
  <c r="S292" i="3"/>
  <c r="R292" i="3"/>
  <c r="O292" i="3"/>
  <c r="D295" i="1" s="1"/>
  <c r="S291" i="3"/>
  <c r="R291" i="3"/>
  <c r="O291" i="3"/>
  <c r="D294" i="1" s="1"/>
  <c r="S290" i="3"/>
  <c r="R290" i="3"/>
  <c r="O290" i="3"/>
  <c r="D293" i="1" s="1"/>
  <c r="S289" i="3"/>
  <c r="R289" i="3"/>
  <c r="O289" i="3"/>
  <c r="D292" i="1" s="1"/>
  <c r="S288" i="3"/>
  <c r="R288" i="3"/>
  <c r="O288" i="3"/>
  <c r="D291" i="1" s="1"/>
  <c r="S287" i="3"/>
  <c r="R287" i="3"/>
  <c r="O287" i="3"/>
  <c r="D290" i="1" s="1"/>
  <c r="S286" i="3"/>
  <c r="R286" i="3"/>
  <c r="O286" i="3"/>
  <c r="D289" i="1" s="1"/>
  <c r="S285" i="3"/>
  <c r="R285" i="3"/>
  <c r="O285" i="3"/>
  <c r="D288" i="1" s="1"/>
  <c r="S284" i="3"/>
  <c r="R284" i="3"/>
  <c r="O284" i="3"/>
  <c r="D287" i="1" s="1"/>
  <c r="S283" i="3"/>
  <c r="R283" i="3"/>
  <c r="O283" i="3"/>
  <c r="D286" i="1" s="1"/>
  <c r="S282" i="3"/>
  <c r="R282" i="3"/>
  <c r="O282" i="3"/>
  <c r="D285" i="1" s="1"/>
  <c r="S281" i="3"/>
  <c r="R281" i="3"/>
  <c r="O281" i="3"/>
  <c r="D284" i="1" s="1"/>
  <c r="S280" i="3"/>
  <c r="R280" i="3"/>
  <c r="O280" i="3"/>
  <c r="D283" i="1" s="1"/>
  <c r="S279" i="3"/>
  <c r="R279" i="3"/>
  <c r="O279" i="3"/>
  <c r="D282" i="1" s="1"/>
  <c r="S278" i="3"/>
  <c r="R278" i="3"/>
  <c r="O278" i="3"/>
  <c r="D281" i="1" s="1"/>
  <c r="S277" i="3"/>
  <c r="R277" i="3"/>
  <c r="O277" i="3"/>
  <c r="D280" i="1" s="1"/>
  <c r="S276" i="3"/>
  <c r="R276" i="3"/>
  <c r="O276" i="3"/>
  <c r="D279" i="1" s="1"/>
  <c r="S275" i="3"/>
  <c r="R275" i="3"/>
  <c r="O275" i="3"/>
  <c r="D278" i="1" s="1"/>
  <c r="S274" i="3"/>
  <c r="R274" i="3"/>
  <c r="O274" i="3"/>
  <c r="D277" i="1" s="1"/>
  <c r="S273" i="3"/>
  <c r="R273" i="3"/>
  <c r="O273" i="3"/>
  <c r="D276" i="1" s="1"/>
  <c r="S272" i="3"/>
  <c r="R272" i="3"/>
  <c r="O272" i="3"/>
  <c r="D275" i="1" s="1"/>
  <c r="S271" i="3"/>
  <c r="R271" i="3"/>
  <c r="O271" i="3"/>
  <c r="D274" i="1" s="1"/>
  <c r="S270" i="3"/>
  <c r="R270" i="3"/>
  <c r="O270" i="3"/>
  <c r="D273" i="1" s="1"/>
  <c r="S269" i="3"/>
  <c r="R269" i="3"/>
  <c r="O269" i="3"/>
  <c r="D272" i="1" s="1"/>
  <c r="S268" i="3"/>
  <c r="R268" i="3"/>
  <c r="O268" i="3"/>
  <c r="D271" i="1" s="1"/>
  <c r="S267" i="3"/>
  <c r="R267" i="3"/>
  <c r="O267" i="3"/>
  <c r="D270" i="1" s="1"/>
  <c r="S266" i="3"/>
  <c r="R266" i="3"/>
  <c r="O266" i="3"/>
  <c r="D269" i="1" s="1"/>
  <c r="S265" i="3"/>
  <c r="R265" i="3"/>
  <c r="O265" i="3"/>
  <c r="D268" i="1" s="1"/>
  <c r="S264" i="3"/>
  <c r="R264" i="3"/>
  <c r="O264" i="3"/>
  <c r="D267" i="1" s="1"/>
  <c r="S263" i="3"/>
  <c r="R263" i="3"/>
  <c r="O263" i="3"/>
  <c r="D266" i="1" s="1"/>
  <c r="O261" i="3"/>
  <c r="D264" i="1" s="1"/>
  <c r="O260" i="3"/>
  <c r="D263" i="1" s="1"/>
  <c r="S259" i="3"/>
  <c r="R259" i="3"/>
  <c r="O259" i="3"/>
  <c r="D262" i="1" s="1"/>
  <c r="S258" i="3"/>
  <c r="R258" i="3"/>
  <c r="O258" i="3"/>
  <c r="D261" i="1" s="1"/>
  <c r="O257" i="3"/>
  <c r="D260" i="1" s="1"/>
  <c r="O256" i="3"/>
  <c r="D259" i="1" s="1"/>
  <c r="S255" i="3"/>
  <c r="R255" i="3"/>
  <c r="O255" i="3"/>
  <c r="D258" i="1" s="1"/>
  <c r="S254" i="3"/>
  <c r="R254" i="3"/>
  <c r="O254" i="3"/>
  <c r="D257" i="1" s="1"/>
  <c r="S253" i="3"/>
  <c r="R253" i="3"/>
  <c r="O253" i="3"/>
  <c r="D256" i="1" s="1"/>
  <c r="S252" i="3"/>
  <c r="R252" i="3"/>
  <c r="O252" i="3"/>
  <c r="D255" i="1" s="1"/>
  <c r="S251" i="3"/>
  <c r="R251" i="3"/>
  <c r="O251" i="3"/>
  <c r="D254" i="1" s="1"/>
  <c r="S250" i="3"/>
  <c r="R250" i="3"/>
  <c r="O250" i="3"/>
  <c r="D253" i="1" s="1"/>
  <c r="S249" i="3"/>
  <c r="R249" i="3"/>
  <c r="O249" i="3"/>
  <c r="D252" i="1" s="1"/>
  <c r="S248" i="3"/>
  <c r="R248" i="3"/>
  <c r="O248" i="3"/>
  <c r="D251" i="1" s="1"/>
  <c r="S247" i="3"/>
  <c r="R247" i="3"/>
  <c r="O247" i="3"/>
  <c r="D250" i="1" s="1"/>
  <c r="S246" i="3"/>
  <c r="R246" i="3"/>
  <c r="O246" i="3"/>
  <c r="D249" i="1" s="1"/>
  <c r="S245" i="3"/>
  <c r="R245" i="3"/>
  <c r="O245" i="3"/>
  <c r="D248" i="1" s="1"/>
  <c r="S244" i="3"/>
  <c r="R244" i="3"/>
  <c r="O244" i="3"/>
  <c r="D247" i="1" s="1"/>
  <c r="S243" i="3"/>
  <c r="R243" i="3"/>
  <c r="O243" i="3"/>
  <c r="D246" i="1" s="1"/>
  <c r="S242" i="3"/>
  <c r="R242" i="3"/>
  <c r="O242" i="3"/>
  <c r="D245" i="1" s="1"/>
  <c r="S241" i="3"/>
  <c r="R241" i="3"/>
  <c r="O241" i="3"/>
  <c r="D244" i="1" s="1"/>
  <c r="S240" i="3"/>
  <c r="R240" i="3"/>
  <c r="O240" i="3"/>
  <c r="D243" i="1" s="1"/>
  <c r="S239" i="3"/>
  <c r="R239" i="3"/>
  <c r="O239" i="3"/>
  <c r="D242" i="1" s="1"/>
  <c r="S238" i="3"/>
  <c r="R238" i="3"/>
  <c r="O238" i="3"/>
  <c r="D241" i="1" s="1"/>
  <c r="S237" i="3"/>
  <c r="R237" i="3"/>
  <c r="O237" i="3"/>
  <c r="D240" i="1" s="1"/>
  <c r="S236" i="3"/>
  <c r="R236" i="3"/>
  <c r="O236" i="3"/>
  <c r="D239" i="1" s="1"/>
  <c r="S235" i="3"/>
  <c r="R235" i="3"/>
  <c r="O235" i="3"/>
  <c r="D238" i="1" s="1"/>
  <c r="S234" i="3"/>
  <c r="R234" i="3"/>
  <c r="O234" i="3"/>
  <c r="D237" i="1" s="1"/>
  <c r="S233" i="3"/>
  <c r="R233" i="3"/>
  <c r="O233" i="3"/>
  <c r="D236" i="1" s="1"/>
  <c r="S232" i="3"/>
  <c r="R232" i="3"/>
  <c r="O232" i="3"/>
  <c r="D235" i="1" s="1"/>
  <c r="S231" i="3"/>
  <c r="R231" i="3"/>
  <c r="O231" i="3"/>
  <c r="D234" i="1" s="1"/>
  <c r="S230" i="3"/>
  <c r="R230" i="3"/>
  <c r="O230" i="3"/>
  <c r="D233" i="1" s="1"/>
  <c r="S229" i="3"/>
  <c r="R229" i="3"/>
  <c r="O229" i="3"/>
  <c r="D232" i="1" s="1"/>
  <c r="S228" i="3"/>
  <c r="R228" i="3"/>
  <c r="O228" i="3"/>
  <c r="D231" i="1" s="1"/>
  <c r="S227" i="3"/>
  <c r="R227" i="3"/>
  <c r="O227" i="3"/>
  <c r="D230" i="1" s="1"/>
  <c r="S226" i="3"/>
  <c r="R226" i="3"/>
  <c r="O226" i="3"/>
  <c r="D229" i="1" s="1"/>
  <c r="S225" i="3"/>
  <c r="R225" i="3"/>
  <c r="O225" i="3"/>
  <c r="D228" i="1" s="1"/>
  <c r="S224" i="3"/>
  <c r="R224" i="3"/>
  <c r="O224" i="3"/>
  <c r="D227" i="1" s="1"/>
  <c r="S223" i="3"/>
  <c r="R223" i="3"/>
  <c r="O223" i="3"/>
  <c r="D226" i="1" s="1"/>
  <c r="S222" i="3"/>
  <c r="R222" i="3"/>
  <c r="O222" i="3"/>
  <c r="D225" i="1" s="1"/>
  <c r="S221" i="3"/>
  <c r="R221" i="3"/>
  <c r="S220" i="3"/>
  <c r="R220" i="3"/>
  <c r="O220" i="3"/>
  <c r="D223" i="1" s="1"/>
  <c r="S219" i="3"/>
  <c r="R219" i="3"/>
  <c r="O219" i="3"/>
  <c r="D222" i="1" s="1"/>
  <c r="S218" i="3"/>
  <c r="R218" i="3"/>
  <c r="O218" i="3"/>
  <c r="D221" i="1" s="1"/>
  <c r="S217" i="3"/>
  <c r="R217" i="3"/>
  <c r="O217" i="3"/>
  <c r="D220" i="1" s="1"/>
  <c r="S216" i="3"/>
  <c r="R216" i="3"/>
  <c r="O216" i="3"/>
  <c r="D219" i="1" s="1"/>
  <c r="S215" i="3"/>
  <c r="R215" i="3"/>
  <c r="O215" i="3"/>
  <c r="D218" i="1" s="1"/>
  <c r="S214" i="3"/>
  <c r="R214" i="3"/>
  <c r="O214" i="3"/>
  <c r="D217" i="1" s="1"/>
  <c r="S213" i="3"/>
  <c r="R213" i="3"/>
  <c r="O213" i="3"/>
  <c r="D216" i="1" s="1"/>
  <c r="S212" i="3"/>
  <c r="R212" i="3"/>
  <c r="O212" i="3"/>
  <c r="D215" i="1" s="1"/>
  <c r="S211" i="3"/>
  <c r="R211" i="3"/>
  <c r="O211" i="3"/>
  <c r="D214" i="1" s="1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D209" i="1" s="1"/>
  <c r="S205" i="3"/>
  <c r="R205" i="3"/>
  <c r="O205" i="3"/>
  <c r="D208" i="1" s="1"/>
  <c r="S204" i="3"/>
  <c r="R204" i="3"/>
  <c r="O204" i="3"/>
  <c r="D207" i="1" s="1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D189" i="1" s="1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O180" i="3"/>
  <c r="D183" i="1" s="1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<sst xmlns="http://schemas.openxmlformats.org/spreadsheetml/2006/main" count="5750" uniqueCount="2561">
  <si>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</si>
  <si>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</si>
  <si>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</si>
  <si>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</si>
  <si>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</si>
  <si>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</si>
  <si>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</si>
  <si>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</si>
  <si>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</si>
  <si>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</si>
  <si>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</si>
  <si>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</si>
  <si>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</si>
  <si>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</si>
  <si>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</si>
  <si>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</si>
  <si>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</si>
  <si>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</si>
  <si>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</si>
  <si>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</si>
  <si>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</si>
  <si>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</si>
  <si>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</si>
  <si>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</si>
  <si>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</si>
  <si>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</si>
  <si>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</si>
  <si>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</si>
  <si>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</si>
  <si>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</si>
  <si>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</si>
  <si>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</si>
  <si>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</si>
  <si>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</si>
  <si>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</si>
  <si>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</si>
  <si>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</si>
  <si>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</si>
  <si>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</si>
  <si>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</si>
  <si>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</si>
  <si>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</si>
  <si>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</si>
  <si>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</si>
  <si>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</si>
  <si>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</si>
  <si>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</si>
  <si>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</si>
  <si>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</si>
  <si>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</si>
  <si>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</si>
  <si>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</si>
  <si>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</si>
  <si>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</si>
  <si>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</si>
  <si>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</si>
  <si>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</si>
  <si>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</si>
  <si>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</si>
  <si>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</si>
  <si>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</si>
  <si>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</si>
  <si>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</si>
  <si>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</si>
  <si>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</si>
  <si>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</si>
  <si>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</si>
  <si>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</si>
  <si>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</si>
  <si>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</si>
  <si>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</si>
  <si>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</si>
  <si>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</si>
  <si>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</si>
  <si>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</si>
  <si>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</si>
  <si>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</si>
  <si>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</si>
  <si>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</si>
  <si>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</si>
  <si>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</si>
  <si>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</si>
  <si>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</si>
  <si>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</si>
  <si>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</si>
  <si>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</si>
  <si>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</si>
  <si>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</si>
  <si>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</si>
  <si>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</si>
  <si>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</si>
  <si>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</si>
  <si>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</si>
  <si>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</si>
  <si>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</si>
  <si>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</si>
  <si>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</si>
  <si>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</si>
  <si>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</si>
  <si>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</si>
  <si>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</si>
  <si>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</si>
  <si>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</si>
  <si>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</si>
  <si>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</si>
  <si>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</si>
  <si>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</si>
  <si>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</si>
  <si>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</si>
  <si>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</si>
  <si>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</si>
  <si>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</si>
  <si>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</si>
  <si>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</si>
  <si>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</si>
  <si>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</si>
  <si>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</si>
  <si>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</si>
  <si>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</si>
  <si>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</si>
  <si>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</si>
  <si>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</si>
  <si>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</si>
  <si>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</si>
  <si>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</si>
  <si>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</si>
  <si>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</si>
  <si>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</si>
  <si>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</si>
  <si>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</si>
  <si>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</si>
  <si>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</si>
  <si>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</si>
  <si>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</si>
  <si>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</si>
  <si>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</si>
  <si>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</si>
  <si>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</si>
  <si>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</si>
  <si>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</si>
  <si>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</si>
  <si>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</si>
  <si>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</si>
  <si>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</si>
  <si>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</si>
  <si>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</si>
  <si>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</si>
  <si>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</si>
  <si>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</si>
  <si>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</si>
  <si>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</si>
  <si>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</si>
  <si>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</si>
  <si>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</si>
  <si>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</si>
  <si>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</si>
  <si>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</si>
  <si>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</si>
  <si>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</si>
  <si>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</si>
  <si>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</si>
  <si>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</si>
  <si>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</si>
  <si>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</si>
  <si>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</si>
  <si>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</si>
  <si>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</si>
  <si>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</si>
  <si>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</si>
  <si>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</si>
  <si>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</si>
  <si>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</si>
  <si>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</si>
  <si>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</si>
  <si>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</si>
  <si>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</si>
  <si>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</si>
  <si>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</si>
  <si>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</si>
  <si>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</si>
  <si>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</si>
  <si>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</si>
  <si>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</si>
  <si>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</si>
  <si>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</si>
  <si>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</si>
  <si>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</si>
  <si>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</si>
  <si>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</si>
  <si>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</si>
  <si>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</si>
  <si>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</si>
  <si>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</si>
  <si>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</si>
  <si>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</si>
  <si>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</si>
  <si>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</si>
  <si>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</si>
  <si>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</si>
  <si>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</si>
  <si>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</si>
  <si>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</si>
  <si>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</si>
  <si>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</si>
  <si>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</si>
  <si>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</si>
  <si>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</si>
  <si>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</si>
  <si>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</si>
  <si>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</si>
  <si>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</si>
  <si>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</si>
  <si>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</si>
  <si>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</si>
  <si>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</si>
  <si>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</si>
  <si>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</si>
  <si>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</si>
  <si>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</si>
  <si>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</si>
  <si>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</si>
  <si>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</si>
  <si>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</si>
  <si>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</si>
  <si>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</si>
  <si>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</si>
  <si>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</si>
  <si>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</si>
  <si>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</si>
  <si>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</si>
  <si>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</si>
  <si>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</si>
  <si>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</si>
  <si>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</si>
  <si>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</si>
  <si>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</si>
  <si>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</si>
  <si>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</si>
  <si>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</si>
  <si>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</si>
  <si>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</si>
  <si>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</si>
  <si>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</si>
  <si>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</si>
  <si>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</si>
  <si>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</si>
  <si>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</si>
  <si>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</si>
  <si>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</si>
  <si>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</si>
  <si>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</si>
  <si>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</si>
  <si>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</si>
  <si>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</si>
  <si>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</si>
  <si>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</si>
  <si>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</si>
  <si>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</si>
  <si>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</si>
  <si>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</si>
  <si>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</si>
  <si>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</si>
  <si>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</si>
  <si>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</si>
  <si>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</si>
  <si>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</si>
  <si>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</si>
  <si>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</si>
  <si>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</si>
  <si>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</si>
  <si>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</si>
  <si>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</si>
  <si>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</si>
  <si>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</si>
  <si>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</si>
  <si>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</si>
  <si>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</si>
  <si>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</si>
  <si>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</si>
  <si>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</si>
  <si>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</si>
  <si>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</si>
  <si>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</si>
  <si>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</si>
  <si>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</si>
  <si>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</si>
  <si>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</si>
  <si>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</si>
  <si>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</si>
  <si>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</si>
  <si>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</si>
  <si>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</si>
  <si>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</si>
  <si>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</si>
  <si>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</si>
  <si>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</si>
  <si>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</si>
  <si>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</si>
  <si>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</si>
  <si>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</si>
  <si>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</si>
  <si>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</si>
  <si>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</si>
  <si>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</si>
  <si>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</si>
  <si>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</si>
  <si>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</si>
  <si>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</si>
  <si>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</si>
  <si>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</si>
  <si>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</si>
  <si>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</si>
  <si>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</si>
  <si>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</si>
  <si>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</si>
  <si>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</si>
  <si>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</si>
  <si>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</si>
  <si>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</si>
  <si>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</si>
  <si>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</si>
  <si>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</si>
  <si>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</si>
  <si>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</si>
  <si>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</si>
  <si>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</si>
  <si>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</si>
  <si>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</si>
  <si>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</si>
  <si>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</si>
  <si>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</si>
  <si>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</si>
  <si>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</si>
  <si>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</si>
  <si>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</si>
  <si>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</si>
  <si>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</si>
  <si>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</si>
  <si>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</si>
  <si>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</si>
  <si>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</si>
  <si>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</si>
  <si>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</si>
  <si>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</si>
  <si>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</si>
  <si>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</si>
  <si>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</si>
  <si>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</si>
  <si>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</si>
  <si>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</si>
  <si>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</si>
  <si>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</si>
  <si>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</si>
  <si>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</si>
  <si>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</si>
  <si>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</si>
  <si>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</si>
  <si>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</si>
  <si>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</si>
  <si>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</si>
  <si>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</si>
  <si>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</si>
  <si>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</si>
  <si>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</si>
  <si>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</si>
  <si>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</si>
  <si>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</si>
  <si>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</si>
  <si>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</si>
  <si>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</si>
  <si>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</si>
  <si>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</si>
  <si>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</si>
  <si>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</si>
  <si>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</si>
  <si>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</si>
  <si>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</si>
  <si>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</si>
  <si>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</si>
  <si>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</si>
  <si>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</si>
  <si>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</si>
  <si>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</si>
  <si>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</si>
  <si>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</si>
  <si>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</si>
  <si>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</si>
  <si>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</si>
  <si>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</si>
  <si>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</si>
  <si>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</si>
  <si>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</si>
  <si>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</si>
  <si>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</si>
  <si>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</si>
  <si>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</si>
  <si>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</si>
  <si>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</si>
  <si>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</si>
  <si>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</si>
  <si>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</si>
  <si>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</si>
  <si>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</si>
  <si>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</si>
  <si>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</si>
  <si>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</si>
  <si>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</si>
  <si>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</si>
  <si>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</si>
  <si>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</si>
  <si>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</si>
  <si>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</si>
  <si>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</si>
  <si>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</si>
  <si>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</si>
  <si>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</si>
  <si>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</si>
  <si>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</si>
  <si>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</si>
  <si>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</si>
  <si>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</si>
  <si>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</si>
  <si>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</si>
  <si>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</si>
  <si>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</si>
  <si>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</si>
  <si>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</si>
  <si>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</si>
  <si>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</si>
  <si>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</si>
  <si>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</si>
  <si>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</si>
  <si>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</si>
  <si>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</si>
  <si>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</si>
  <si>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</si>
  <si>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</si>
  <si>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</si>
  <si>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</si>
  <si>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</si>
  <si>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</si>
  <si>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</si>
  <si>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</si>
  <si>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</si>
  <si>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</si>
  <si>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</si>
  <si>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</si>
  <si>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</si>
  <si>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</si>
  <si>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</si>
  <si>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</si>
  <si>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</si>
  <si>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</si>
  <si>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</si>
  <si>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</si>
  <si>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</si>
  <si>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</si>
  <si>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</si>
  <si>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</si>
  <si>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</si>
  <si>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</si>
  <si>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</si>
  <si>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</si>
  <si>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</si>
  <si>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</si>
  <si>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</si>
  <si>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</si>
  <si>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</si>
  <si>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</si>
  <si>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</si>
  <si>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</si>
  <si>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</si>
  <si>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</si>
  <si>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</si>
  <si>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</si>
  <si>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</si>
  <si>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</si>
  <si>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</si>
  <si>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</si>
  <si>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</si>
  <si>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</si>
  <si>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</si>
  <si>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</si>
  <si>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</si>
  <si>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</si>
  <si>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</si>
  <si>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</si>
  <si>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</si>
  <si>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</si>
  <si>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</si>
  <si>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</si>
  <si>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</si>
  <si>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</si>
  <si>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</si>
  <si>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</si>
  <si>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</si>
  <si>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</si>
  <si>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</si>
  <si>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</si>
  <si>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</si>
  <si>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</si>
  <si>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</si>
  <si>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</si>
  <si>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</si>
  <si>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</si>
  <si>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</si>
  <si>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</si>
  <si>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</si>
  <si>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</si>
  <si>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</si>
  <si>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</si>
  <si>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</si>
  <si>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</si>
  <si>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</si>
  <si>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</si>
  <si>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</si>
  <si>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</si>
  <si>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</si>
  <si>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</si>
  <si>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</si>
  <si>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</si>
  <si>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</si>
  <si>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</si>
  <si>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</si>
  <si>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</si>
  <si>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</si>
  <si>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</si>
  <si>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</si>
  <si>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</si>
  <si>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</si>
  <si>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</si>
  <si>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</si>
  <si>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</si>
  <si>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</si>
  <si>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</si>
  <si>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</si>
  <si>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</si>
  <si>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</si>
  <si>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</si>
  <si>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</si>
  <si>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</si>
  <si>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</si>
  <si>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</si>
  <si>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</si>
  <si>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</si>
  <si>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</si>
  <si>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</si>
  <si>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</si>
  <si>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</si>
  <si>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</si>
  <si>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</si>
  <si>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</si>
  <si>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</si>
  <si>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</si>
  <si>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</si>
  <si>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</si>
  <si>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</si>
  <si>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</si>
  <si>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</si>
  <si>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</si>
  <si>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</si>
  <si>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</si>
  <si>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</si>
  <si>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</si>
  <si>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</si>
  <si>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</si>
  <si>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</si>
  <si>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</si>
  <si>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</si>
  <si>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</si>
  <si>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</si>
  <si>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</si>
  <si>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</si>
  <si>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</si>
  <si>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</si>
  <si>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</si>
  <si>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</si>
  <si>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</si>
  <si>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</si>
  <si>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</si>
  <si>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</si>
  <si>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</si>
  <si>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</si>
  <si>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</si>
  <si>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</si>
  <si>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</si>
  <si>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</si>
  <si>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</si>
  <si>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</si>
  <si>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</si>
  <si>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</si>
  <si>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</si>
  <si>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</si>
  <si>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</si>
  <si>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</si>
  <si>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</si>
  <si>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</si>
  <si>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</si>
  <si>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</si>
  <si>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</si>
  <si>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</si>
  <si>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</si>
  <si>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</si>
  <si>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</si>
  <si>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</si>
  <si>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</si>
  <si>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</si>
  <si>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</si>
  <si>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</si>
  <si>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</si>
  <si>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</si>
  <si>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</si>
  <si>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</si>
  <si>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</si>
  <si>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</si>
  <si>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</si>
  <si>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</si>
  <si>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</si>
  <si>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</si>
  <si>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</si>
  <si>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</si>
  <si>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</si>
  <si>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</si>
  <si>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</si>
  <si>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</si>
  <si>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</si>
  <si>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</si>
  <si>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</si>
  <si>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</si>
  <si>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</si>
  <si>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</si>
  <si>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</si>
  <si>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</si>
  <si>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</si>
  <si>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</si>
  <si>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</si>
  <si>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</si>
  <si>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</si>
  <si>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</si>
  <si>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</si>
  <si>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</si>
  <si>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</si>
  <si>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</si>
  <si>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</si>
  <si>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</si>
  <si>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</si>
  <si>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</si>
  <si>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</si>
  <si>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</si>
  <si>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</si>
  <si>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</si>
  <si>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</si>
  <si>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</si>
  <si>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</si>
  <si>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</si>
  <si>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</si>
  <si>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</si>
  <si>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</si>
  <si>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</si>
  <si>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</si>
  <si>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</si>
  <si>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</si>
  <si>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</si>
  <si>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</si>
  <si>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</si>
  <si>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</si>
  <si>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</si>
  <si>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</si>
  <si>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</si>
  <si>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</si>
  <si>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</si>
  <si>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</si>
  <si>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</si>
  <si>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</si>
  <si>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</si>
  <si>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</si>
  <si>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</si>
  <si>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</si>
  <si>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</si>
  <si>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</si>
  <si>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</si>
  <si>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</si>
  <si>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</si>
  <si>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</si>
  <si>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</si>
  <si>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</si>
  <si>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</si>
  <si>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</si>
  <si>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</si>
  <si>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</si>
  <si>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</si>
  <si>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</si>
  <si>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</si>
  <si>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</si>
  <si>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</si>
  <si>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</si>
  <si>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</si>
  <si>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</si>
  <si>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</si>
  <si>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</si>
  <si>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</si>
  <si>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</si>
  <si>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</si>
  <si>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</si>
  <si>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</si>
  <si>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</si>
  <si>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</si>
  <si>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</si>
  <si>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</si>
  <si>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</si>
  <si>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</si>
  <si>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</si>
  <si>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</si>
  <si>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</si>
  <si>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</si>
  <si>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</si>
  <si>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</si>
  <si>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</si>
  <si>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</si>
  <si>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</si>
  <si>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</si>
  <si>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</si>
  <si>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</si>
  <si>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</si>
  <si>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</si>
  <si>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</si>
  <si>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</si>
  <si>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</si>
  <si>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</si>
  <si>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</si>
  <si>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</si>
  <si>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</si>
  <si>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</si>
  <si>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</si>
  <si>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</si>
  <si>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</si>
  <si>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</si>
  <si>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</si>
  <si>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</si>
  <si>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</si>
  <si>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</si>
  <si>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</si>
  <si>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</si>
  <si>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</si>
  <si>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</si>
  <si>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</si>
  <si>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</si>
  <si>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</si>
  <si>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</si>
  <si>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</si>
  <si>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</si>
  <si>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</si>
  <si>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</si>
  <si>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</si>
  <si>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</si>
  <si>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</si>
  <si>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</si>
  <si>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</si>
  <si>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</si>
  <si>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</si>
  <si>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</si>
  <si>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</si>
  <si>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</si>
  <si>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</si>
  <si>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</si>
  <si>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</si>
  <si>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</si>
  <si>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</si>
  <si>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</si>
  <si>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</si>
  <si>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</si>
  <si>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</si>
  <si>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</si>
  <si>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</si>
  <si>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</si>
  <si>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</si>
  <si>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</si>
  <si>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</si>
  <si>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</si>
  <si>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</si>
  <si>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</si>
  <si>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</si>
  <si>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</si>
  <si>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</si>
  <si>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</si>
  <si>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</si>
  <si>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</si>
  <si>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</si>
  <si>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</si>
  <si>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</si>
  <si>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</si>
  <si>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</si>
  <si>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</si>
  <si>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</si>
  <si>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</si>
  <si>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</si>
  <si>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</si>
  <si>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</si>
  <si>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</si>
  <si>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</si>
  <si>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</si>
  <si>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</si>
  <si>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</si>
  <si>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</si>
  <si>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</si>
  <si>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</si>
  <si>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</si>
  <si>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</si>
  <si>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</si>
  <si>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</si>
  <si>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</si>
  <si>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</si>
  <si>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</si>
  <si>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</si>
  <si>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</si>
  <si>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</si>
  <si>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</si>
  <si>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</si>
  <si>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</si>
  <si>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</si>
  <si>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</si>
  <si>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</si>
  <si>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</si>
  <si>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</si>
  <si>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</si>
  <si>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</si>
  <si>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</si>
  <si>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</si>
  <si>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</si>
  <si>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</si>
  <si>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</si>
  <si>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</si>
  <si>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</si>
  <si>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</si>
  <si>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</si>
  <si>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</si>
  <si>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</si>
  <si>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</si>
  <si>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</si>
  <si>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</si>
  <si>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</si>
  <si>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</si>
  <si>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</si>
  <si>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</si>
  <si>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</si>
  <si>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</si>
  <si>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</si>
  <si>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</si>
  <si>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</si>
  <si>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</si>
  <si>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</si>
  <si>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</si>
  <si>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</si>
  <si>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</si>
  <si>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</si>
  <si>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</si>
  <si>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</si>
  <si>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</si>
  <si>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</si>
  <si>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</si>
  <si>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</si>
  <si>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</si>
  <si>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</si>
  <si>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</si>
  <si>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</si>
  <si>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</si>
  <si>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</si>
  <si>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</si>
  <si>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</si>
  <si>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</si>
  <si>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</si>
  <si>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</si>
  <si>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</si>
  <si>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</si>
  <si>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</si>
  <si>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</si>
  <si>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</si>
  <si>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</si>
  <si>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</si>
  <si>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</si>
  <si>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</si>
  <si>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</si>
  <si>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</si>
  <si>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</si>
  <si>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</si>
  <si>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</si>
  <si>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</si>
  <si>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</si>
  <si>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</si>
  <si>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</si>
  <si>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</si>
  <si>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</si>
  <si>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</si>
  <si>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</si>
  <si>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</si>
  <si>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</si>
  <si>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</si>
  <si>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</si>
  <si>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</si>
  <si>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</si>
  <si>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</si>
  <si>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</si>
  <si>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</si>
  <si>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</si>
  <si>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</si>
  <si>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</si>
  <si>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</si>
  <si>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</si>
  <si>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</si>
  <si>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</si>
  <si>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</si>
  <si>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</si>
  <si>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</si>
  <si>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</si>
  <si>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</si>
  <si>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</si>
  <si>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</si>
  <si>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</si>
  <si>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</si>
  <si>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</si>
  <si>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</si>
  <si>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</si>
  <si>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</si>
  <si>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</si>
  <si>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</si>
  <si>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</si>
  <si>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</si>
  <si>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</si>
  <si>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</si>
  <si>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</si>
  <si>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</si>
  <si>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</si>
  <si>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</si>
  <si>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</si>
  <si>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</si>
  <si>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</si>
  <si>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</si>
  <si>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</si>
  <si>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</si>
  <si>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</si>
  <si>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</si>
  <si>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</si>
  <si>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</si>
  <si>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</si>
  <si>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</si>
  <si>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</si>
  <si>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</si>
  <si>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</si>
  <si>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</si>
  <si>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</si>
  <si>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</si>
  <si>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</si>
  <si>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</si>
  <si>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</si>
  <si>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</si>
  <si>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</si>
  <si>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</si>
  <si>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</si>
  <si>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</si>
  <si>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</si>
  <si>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</si>
  <si>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</si>
  <si>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</si>
  <si>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</si>
  <si>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</si>
  <si>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</si>
  <si>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</si>
  <si>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</si>
  <si>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</si>
  <si>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</si>
  <si>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</si>
  <si>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</si>
  <si>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</si>
  <si>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</si>
  <si>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</si>
  <si>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</si>
  <si>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</si>
  <si>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</si>
  <si>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</si>
  <si>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</si>
  <si>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</si>
  <si>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</si>
  <si>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</si>
  <si>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</si>
  <si>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</si>
  <si>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</si>
  <si>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</si>
  <si>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</si>
  <si>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</si>
  <si>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</si>
  <si>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</si>
  <si>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</si>
  <si>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</si>
  <si>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</si>
  <si>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</si>
  <si>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</si>
  <si>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</si>
  <si>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</si>
  <si>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</si>
  <si>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</si>
  <si>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</si>
  <si>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</si>
  <si>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</si>
  <si>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</si>
  <si>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</si>
  <si>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</si>
  <si>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</si>
  <si>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</si>
  <si>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</si>
  <si>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</si>
  <si>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</si>
  <si>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</si>
  <si>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</si>
  <si>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</si>
  <si>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</si>
  <si>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</si>
  <si>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</si>
  <si>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</si>
  <si>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</si>
  <si>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</si>
  <si>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</si>
  <si>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</si>
  <si>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</si>
  <si>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</si>
  <si>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</si>
  <si>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</si>
  <si>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</si>
  <si>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</si>
  <si>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</si>
  <si>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</si>
  <si>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</si>
  <si>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</si>
  <si>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</si>
  <si>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</si>
  <si>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</si>
  <si>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</si>
  <si>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</si>
  <si>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</si>
  <si>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</si>
  <si>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</si>
  <si>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</si>
  <si>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</si>
  <si>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</si>
  <si>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</si>
  <si>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</si>
  <si>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</si>
  <si>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</si>
  <si>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</si>
  <si>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</si>
  <si>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</si>
  <si>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</si>
  <si>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</si>
  <si>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</si>
  <si>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</si>
  <si>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</si>
  <si>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</si>
  <si>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</si>
  <si>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</si>
  <si>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</si>
  <si>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</si>
  <si>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</si>
  <si>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</si>
  <si>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</si>
  <si>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</si>
  <si>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</si>
  <si>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</si>
  <si>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</si>
  <si>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</si>
  <si>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</si>
  <si>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</si>
  <si>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</si>
  <si>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</si>
  <si>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</si>
  <si>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</si>
  <si>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</si>
  <si>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</si>
  <si>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</si>
  <si>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</si>
  <si>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</si>
  <si>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</si>
  <si>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</si>
  <si>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</si>
  <si>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</si>
  <si>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</si>
  <si>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</si>
  <si>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</si>
  <si>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</si>
  <si>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</si>
  <si>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</si>
  <si>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</si>
  <si>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</si>
  <si>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</si>
  <si>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</si>
  <si>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</si>
  <si>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</si>
  <si>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</si>
  <si>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</si>
  <si>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</si>
  <si>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</si>
  <si>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</si>
  <si>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</si>
  <si>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</si>
  <si>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</si>
  <si>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</si>
  <si>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</si>
  <si>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</si>
  <si>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</si>
  <si>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</si>
  <si>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</si>
  <si>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</si>
  <si>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</si>
  <si>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</si>
  <si>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</si>
  <si>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</si>
  <si>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</si>
  <si>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</si>
  <si>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</si>
  <si>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</si>
  <si>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</si>
  <si>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</si>
  <si>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</si>
  <si>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</si>
  <si>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</si>
  <si>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</si>
  <si>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</si>
  <si>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</si>
  <si>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</si>
  <si>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</si>
  <si>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</si>
  <si>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</si>
  <si>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</si>
  <si>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</si>
  <si>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</si>
  <si>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</si>
  <si>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</si>
  <si>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</si>
  <si>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</si>
  <si>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</si>
  <si>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</si>
  <si>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</si>
  <si>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</si>
  <si>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</si>
  <si>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</si>
  <si>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</si>
  <si>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</si>
  <si>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</si>
  <si>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</si>
  <si>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</si>
  <si>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</si>
  <si>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</si>
  <si>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</si>
  <si>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</si>
  <si>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</si>
  <si>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</si>
  <si>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</si>
  <si>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</si>
  <si>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</si>
  <si>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</si>
  <si>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</si>
  <si>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</si>
  <si>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</si>
  <si>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</si>
  <si>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</si>
  <si>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</si>
  <si>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</si>
  <si>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</si>
  <si>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</si>
  <si>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</si>
  <si>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</si>
  <si>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</si>
  <si>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</si>
  <si>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</si>
  <si>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</si>
  <si>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</si>
  <si>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</si>
  <si>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</si>
  <si>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</si>
  <si>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</si>
  <si>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</si>
  <si>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</si>
  <si>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</si>
  <si>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</si>
  <si>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</si>
  <si>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</si>
  <si>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</si>
  <si>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</si>
  <si>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</si>
  <si>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</si>
  <si>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</si>
  <si>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</si>
  <si>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</si>
  <si>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</si>
  <si>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</si>
  <si>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</si>
  <si>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</si>
  <si>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</si>
  <si>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</si>
  <si>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</si>
  <si>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</si>
  <si>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</si>
  <si>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</si>
  <si>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</si>
  <si>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</si>
  <si>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</si>
  <si>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</si>
  <si>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</si>
  <si>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</si>
  <si>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</si>
  <si>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</si>
  <si>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</si>
  <si>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</si>
  <si>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</si>
  <si>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</si>
  <si>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</si>
  <si>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</si>
  <si>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</si>
  <si>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</si>
  <si>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</si>
  <si>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</si>
  <si>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</si>
  <si>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</si>
  <si>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</si>
  <si>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</si>
  <si>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</si>
  <si>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</si>
  <si>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</si>
  <si>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</si>
  <si>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</si>
  <si>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</si>
  <si>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</si>
  <si>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</si>
  <si>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</si>
  <si>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</si>
  <si>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</si>
  <si>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</si>
  <si>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</si>
  <si>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</si>
  <si>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</si>
  <si>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</si>
  <si>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</si>
  <si>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</si>
  <si>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</si>
  <si>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</si>
  <si>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</si>
  <si>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</si>
  <si>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</si>
  <si>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</si>
  <si>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</si>
  <si>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</si>
  <si>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</si>
  <si>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</si>
  <si>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</si>
  <si>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</si>
  <si>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</si>
  <si>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</si>
  <si>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</si>
  <si>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</si>
  <si>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</si>
  <si>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</si>
  <si>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</si>
  <si>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</si>
  <si>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</si>
  <si>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</si>
  <si>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</si>
  <si>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</si>
  <si>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</si>
  <si>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</si>
  <si>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</si>
  <si>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</si>
  <si>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</si>
  <si>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</si>
  <si>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</si>
  <si>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</si>
  <si>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</si>
  <si>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</si>
  <si>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</si>
  <si>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</si>
  <si>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</si>
  <si>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</si>
  <si>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</si>
  <si>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</si>
  <si>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</si>
  <si>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</si>
  <si>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</si>
  <si>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</si>
  <si>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</si>
  <si>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</si>
  <si>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</si>
  <si>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</si>
  <si>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</si>
  <si>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</si>
  <si>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</si>
  <si>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</si>
  <si>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</si>
  <si>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</si>
  <si>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</si>
  <si>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</si>
  <si>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</si>
  <si>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</si>
  <si>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</si>
  <si>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</si>
  <si>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</si>
  <si>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</si>
  <si>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</si>
  <si>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</si>
  <si>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</si>
  <si>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</si>
  <si>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</si>
  <si>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</si>
  <si>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</si>
  <si>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</si>
  <si>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</si>
  <si>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</si>
  <si>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</si>
  <si>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</si>
  <si>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</si>
  <si>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</si>
  <si>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</si>
  <si>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</si>
  <si>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</si>
  <si>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</si>
  <si>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</si>
  <si>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</si>
  <si>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</si>
  <si>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</si>
  <si>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</si>
  <si>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</si>
  <si>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</si>
  <si>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</si>
  <si>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</si>
  <si>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</si>
  <si>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</si>
  <si>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</si>
  <si>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</si>
  <si>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</si>
  <si>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</si>
  <si>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</si>
  <si>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</si>
  <si>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</si>
  <si>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</si>
  <si>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</si>
  <si>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</si>
  <si>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</si>
  <si>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</si>
  <si>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</si>
  <si>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</si>
  <si>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</si>
  <si>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</si>
  <si>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</si>
  <si>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</si>
  <si>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</si>
  <si>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</si>
  <si>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</si>
  <si>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</si>
  <si>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</si>
  <si>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</si>
  <si>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</si>
  <si>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</si>
  <si>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</si>
  <si>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</si>
  <si>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</si>
  <si>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</si>
  <si>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</si>
  <si>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</si>
  <si>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</si>
  <si>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</si>
  <si>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</si>
  <si>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</si>
  <si>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</si>
  <si>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</si>
  <si>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</si>
  <si>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</si>
  <si>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</si>
  <si>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</si>
  <si>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</si>
  <si>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</si>
  <si>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</si>
  <si>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</si>
  <si>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</si>
  <si>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</si>
  <si>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</si>
  <si>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</si>
  <si>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</si>
  <si>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</si>
  <si>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</si>
  <si>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</si>
  <si>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</si>
  <si>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</si>
  <si>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</si>
  <si>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</si>
  <si>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</si>
  <si>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</si>
  <si>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</si>
  <si>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</si>
  <si>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</si>
  <si>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</si>
  <si>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</si>
  <si>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</si>
  <si>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</si>
  <si>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</si>
  <si>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</si>
  <si>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</si>
  <si>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</si>
  <si>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</si>
  <si>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</si>
  <si>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</si>
  <si>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</si>
  <si>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</si>
  <si>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</si>
  <si>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</si>
  <si>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</si>
  <si>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</si>
  <si>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</si>
  <si>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</si>
  <si>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</si>
  <si>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</si>
  <si>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</si>
  <si>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</si>
  <si>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</si>
  <si>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</si>
  <si>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</si>
  <si>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</si>
  <si>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</si>
  <si>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</si>
  <si>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</si>
  <si>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</si>
  <si>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</si>
  <si>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</si>
  <si>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</si>
  <si>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</si>
  <si>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</si>
  <si>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</si>
  <si>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</si>
  <si>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</si>
  <si>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</si>
  <si>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</si>
  <si>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</si>
  <si>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</si>
  <si>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</si>
  <si>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</si>
  <si>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</si>
  <si>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</si>
  <si>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</si>
  <si>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</si>
  <si>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</si>
  <si>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</si>
  <si>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</si>
  <si>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</si>
  <si>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</si>
  <si>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</si>
  <si>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</si>
  <si>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</si>
  <si>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</si>
  <si>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</si>
  <si>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</si>
  <si>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</si>
  <si>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</si>
  <si>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</si>
  <si>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</si>
  <si>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</si>
  <si>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</si>
  <si>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</si>
  <si>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</si>
  <si>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</si>
  <si>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</si>
  <si>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</si>
  <si>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</si>
  <si>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</si>
  <si>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</si>
  <si>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</si>
  <si>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</si>
  <si>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</si>
  <si>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</si>
  <si>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</si>
  <si>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</si>
  <si>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</si>
  <si>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</si>
  <si>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</si>
  <si>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</si>
  <si>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</si>
  <si>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</si>
  <si>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</si>
  <si>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</si>
  <si>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</si>
  <si>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</si>
  <si>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</si>
  <si>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</si>
  <si>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</si>
  <si>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</si>
  <si>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</si>
  <si>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</si>
  <si>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</si>
  <si>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</si>
  <si>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</si>
  <si>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</si>
  <si>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</si>
  <si>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</si>
  <si>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</si>
  <si>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</si>
  <si>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</si>
  <si>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</si>
  <si>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</si>
  <si>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</si>
  <si>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</si>
  <si>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</si>
  <si>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</si>
  <si>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</si>
  <si>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</si>
  <si>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</si>
  <si>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</si>
  <si>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</si>
  <si>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</si>
  <si>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</si>
  <si>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</si>
  <si>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</si>
  <si>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</si>
  <si>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</si>
  <si>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</si>
  <si>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</si>
  <si>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</si>
  <si>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</si>
  <si>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</si>
  <si>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</si>
  <si>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</si>
  <si>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</si>
  <si>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</si>
  <si>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</si>
  <si>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</si>
  <si>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</si>
  <si>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</si>
  <si>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</si>
  <si>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</si>
  <si>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</si>
  <si>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</si>
  <si>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</si>
  <si>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</si>
  <si>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</si>
  <si>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</si>
  <si>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</si>
  <si>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</si>
  <si>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</si>
  <si>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</si>
  <si>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</si>
  <si>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</si>
  <si>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</si>
  <si>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</si>
  <si>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</si>
  <si>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</si>
  <si>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</si>
  <si>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</si>
  <si>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</si>
  <si>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</si>
  <si>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</si>
  <si>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</si>
  <si>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</si>
  <si>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</si>
  <si>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</si>
  <si>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</si>
  <si>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</si>
  <si>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</si>
  <si>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</si>
  <si>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</si>
  <si>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</si>
  <si>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</si>
  <si>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</si>
  <si>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</si>
  <si>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</si>
  <si>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</si>
  <si>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</si>
  <si>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</si>
  <si>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</si>
  <si>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</si>
  <si>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</si>
  <si>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</si>
  <si>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</si>
  <si>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</si>
  <si>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</si>
  <si>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</si>
  <si>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</si>
  <si>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</si>
  <si>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</si>
  <si>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</si>
  <si>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</si>
  <si>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</si>
  <si>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</si>
  <si>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</si>
  <si>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</si>
  <si>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</si>
  <si>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</si>
  <si>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</si>
  <si>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</si>
  <si>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</si>
  <si>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</si>
  <si>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</si>
  <si>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</si>
  <si>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</si>
  <si>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</si>
  <si>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</si>
  <si>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</si>
  <si>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</si>
  <si>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</si>
  <si>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</si>
  <si>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</si>
  <si>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</si>
  <si>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</si>
  <si>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</si>
  <si>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</si>
  <si>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</si>
  <si>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</si>
  <si>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</si>
  <si>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</si>
  <si>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</si>
  <si>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</si>
  <si>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</si>
  <si>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</si>
  <si>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</si>
  <si>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</si>
  <si>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</si>
  <si>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</si>
  <si>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</si>
  <si>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</si>
  <si>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</si>
  <si>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</si>
  <si>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</si>
  <si>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</si>
  <si>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</si>
  <si>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</si>
  <si>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</si>
  <si>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</si>
  <si>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</si>
  <si>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</si>
  <si>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</si>
  <si>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</si>
  <si>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</si>
  <si>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</si>
  <si>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</si>
  <si>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</si>
  <si>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</si>
  <si>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</si>
  <si>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</si>
  <si>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</si>
  <si>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</si>
  <si>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</si>
  <si>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</si>
  <si>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</si>
  <si>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</si>
  <si>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</si>
  <si>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</si>
  <si>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</si>
  <si>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</si>
  <si>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</si>
  <si>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</si>
  <si>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</si>
  <si>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</si>
  <si>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</si>
  <si>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</si>
  <si>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</si>
  <si>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</si>
  <si>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</si>
  <si>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</si>
  <si>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</si>
  <si>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</si>
  <si>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</si>
  <si>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</si>
  <si>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</si>
  <si>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</si>
  <si>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</si>
  <si>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</si>
  <si>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</si>
  <si>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</si>
  <si>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</si>
  <si>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</si>
  <si>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</si>
  <si>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</si>
  <si>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</si>
  <si>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</si>
  <si>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</si>
  <si>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</si>
  <si>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</si>
  <si>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</si>
  <si>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</si>
  <si>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</si>
  <si>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</si>
  <si>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</si>
  <si>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</si>
  <si>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</si>
  <si>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</si>
  <si>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</si>
  <si>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</si>
  <si>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</si>
  <si>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</si>
  <si>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</si>
  <si>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</si>
  <si>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</si>
  <si>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</si>
  <si>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</si>
  <si>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</si>
  <si>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</si>
  <si>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</si>
  <si>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</si>
  <si>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</si>
  <si>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</si>
  <si>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</si>
  <si>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</si>
  <si>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</si>
  <si>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</si>
  <si>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</si>
  <si>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</si>
  <si>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</si>
  <si>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</si>
  <si>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</si>
  <si>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</si>
  <si>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</si>
  <si>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</si>
  <si>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</si>
  <si>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</si>
  <si>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</si>
  <si>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</si>
  <si>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</si>
  <si>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</si>
  <si>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</si>
  <si>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</si>
  <si>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</si>
  <si>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</si>
  <si>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</si>
  <si>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</si>
  <si>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</si>
  <si>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</si>
  <si>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</si>
  <si>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</si>
  <si>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</si>
  <si>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</si>
  <si>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</si>
  <si>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</si>
  <si>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</si>
  <si>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</si>
  <si>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</si>
  <si>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</si>
  <si>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</si>
  <si>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</si>
  <si>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</si>
  <si>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</si>
  <si>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</si>
  <si>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</si>
  <si>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</si>
  <si>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</si>
  <si>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</si>
  <si>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</si>
  <si>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</si>
  <si>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</si>
  <si>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</si>
  <si>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</si>
  <si>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</si>
  <si>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</si>
  <si>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</si>
  <si>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</si>
  <si>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</si>
  <si>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</si>
  <si>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</si>
  <si>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</si>
  <si>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</si>
  <si>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</si>
  <si>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</si>
  <si>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</si>
  <si>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</si>
  <si>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</si>
  <si>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</si>
  <si>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</si>
  <si>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</si>
  <si>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</si>
  <si>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</si>
  <si>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</si>
  <si>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</si>
  <si>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</si>
  <si>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</si>
  <si>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</si>
  <si>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</si>
  <si>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</si>
  <si>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</si>
  <si>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</si>
  <si>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</si>
  <si>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</si>
  <si>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</si>
  <si>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</si>
  <si>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</si>
  <si>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</si>
  <si>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</si>
  <si>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</si>
  <si>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</si>
  <si>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</si>
  <si>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</si>
  <si>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</si>
  <si>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</si>
  <si>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</si>
  <si>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</si>
  <si>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</si>
  <si>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</si>
  <si>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</si>
  <si>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</si>
  <si>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</si>
  <si>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</si>
  <si>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</si>
  <si>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</si>
  <si>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</si>
  <si>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</si>
  <si>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</si>
  <si>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</si>
  <si>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</si>
  <si>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</si>
  <si>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</si>
  <si>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</si>
  <si>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</si>
  <si>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</si>
  <si>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</si>
  <si>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</si>
  <si>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</si>
  <si>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</si>
  <si>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</si>
  <si>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</si>
  <si>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</si>
  <si>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</si>
  <si>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</si>
  <si>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</si>
  <si>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</si>
  <si>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</si>
  <si>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</si>
  <si>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</si>
  <si>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</si>
  <si>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</si>
  <si>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</si>
  <si>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</si>
  <si>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</si>
  <si>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</si>
  <si>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</si>
  <si>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</si>
  <si>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</si>
  <si>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</si>
  <si>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</si>
  <si>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</si>
  <si>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</si>
  <si>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</si>
  <si>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</si>
  <si>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</si>
  <si>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</si>
  <si>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</si>
  <si>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</si>
  <si>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</si>
  <si>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</si>
  <si>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</si>
  <si>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</si>
  <si>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</si>
  <si>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</si>
  <si>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</si>
  <si>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</si>
  <si>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</si>
  <si>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</si>
  <si>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</si>
  <si>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</si>
  <si>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</si>
  <si>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</si>
  <si>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</si>
  <si>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</si>
  <si>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</si>
  <si>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</si>
  <si>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</si>
  <si>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</si>
  <si>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</si>
  <si>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</si>
  <si>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</si>
  <si>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</si>
  <si>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</si>
  <si>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</si>
  <si>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</si>
  <si>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</si>
  <si>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</si>
  <si>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</si>
  <si>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</si>
  <si>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</si>
  <si>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</si>
  <si>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</si>
  <si>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</si>
  <si>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</si>
  <si>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</si>
  <si>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</si>
  <si>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</si>
  <si>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</si>
  <si>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</si>
  <si>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</si>
  <si>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</si>
  <si>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</si>
  <si>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</si>
  <si>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</si>
  <si>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</si>
  <si>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</si>
  <si>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</si>
  <si>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</si>
  <si>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</si>
  <si>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</si>
  <si>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</si>
  <si>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</si>
  <si>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</si>
  <si>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</si>
  <si>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</si>
  <si>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</si>
  <si>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</si>
  <si>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</si>
  <si>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</si>
  <si>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</si>
  <si>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</si>
  <si>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</si>
  <si>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</si>
  <si>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</si>
  <si>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</si>
  <si>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</si>
  <si>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</si>
  <si>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</si>
  <si>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</si>
  <si>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</si>
  <si>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</si>
  <si>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</si>
  <si>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</si>
  <si>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</si>
  <si>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</si>
  <si>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</si>
  <si>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</si>
  <si>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</si>
  <si>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</si>
  <si>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</si>
  <si>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</si>
  <si>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</si>
  <si>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</si>
  <si>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</si>
  <si>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</si>
  <si>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</si>
  <si>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</si>
  <si>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</si>
  <si>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</si>
  <si>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</si>
  <si>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</si>
  <si>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</si>
  <si>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</si>
  <si>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</si>
  <si>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</si>
  <si>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</si>
  <si>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</si>
  <si>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</si>
  <si>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</si>
  <si>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</si>
  <si>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</si>
  <si>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</si>
  <si>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</si>
  <si>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</si>
  <si>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</si>
  <si>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</si>
  <si>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</si>
  <si>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</si>
  <si>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</si>
  <si>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</si>
  <si>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</si>
  <si>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</si>
  <si>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</si>
  <si>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</si>
  <si>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</si>
  <si>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</si>
  <si>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</si>
  <si>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</si>
  <si>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</si>
  <si>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</si>
  <si>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</si>
  <si>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</si>
  <si>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</si>
  <si>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</si>
  <si>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</si>
  <si>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</si>
  <si>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</si>
  <si>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</si>
  <si>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</si>
  <si>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</si>
  <si>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</si>
  <si>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</si>
  <si>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</si>
  <si>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</si>
  <si>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</si>
  <si>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</si>
  <si>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</si>
  <si>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</si>
  <si>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</si>
  <si>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</si>
  <si>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</si>
  <si>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</si>
  <si>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</si>
  <si>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</si>
  <si>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</si>
  <si>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</si>
  <si>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</si>
  <si>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</si>
  <si>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</si>
  <si>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</si>
  <si>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</si>
  <si>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</si>
  <si>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</si>
  <si>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</si>
  <si>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</si>
  <si>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</si>
  <si>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</si>
  <si>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</si>
  <si>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</si>
  <si>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</si>
  <si>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</si>
  <si>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</si>
  <si>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</si>
  <si>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</si>
  <si>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</si>
  <si>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</si>
  <si>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</si>
  <si>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</si>
  <si>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</si>
  <si>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</si>
  <si>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</si>
  <si>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</si>
  <si>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</si>
  <si>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</si>
  <si>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</si>
  <si>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</si>
  <si>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</si>
  <si>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</si>
  <si>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</si>
  <si>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</si>
  <si>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</si>
  <si>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</si>
  <si>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</si>
  <si>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</si>
  <si>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</si>
  <si>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</si>
  <si>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</si>
  <si>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</si>
  <si>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</si>
  <si>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</si>
  <si>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</si>
  <si>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</si>
  <si>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</si>
  <si>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</si>
  <si>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</si>
  <si>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</si>
  <si>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</si>
  <si>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</si>
  <si>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</si>
  <si>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</si>
  <si>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</si>
  <si>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</si>
  <si>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</si>
  <si>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</si>
  <si>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</si>
  <si>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</si>
  <si>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</si>
  <si>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</si>
  <si>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</si>
  <si>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</si>
  <si>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</si>
  <si>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</si>
  <si>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</si>
  <si>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</si>
  <si>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</si>
  <si>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</si>
  <si>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</si>
  <si>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</si>
  <si>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</si>
  <si>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</si>
  <si>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</si>
  <si>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</si>
  <si>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</si>
  <si>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</si>
  <si>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</si>
  <si>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</si>
  <si>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</si>
  <si>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</si>
  <si>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</si>
  <si>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</si>
  <si>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</si>
  <si>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</si>
  <si>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</si>
  <si>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</si>
  <si>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</si>
  <si>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</si>
  <si>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</si>
  <si>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</si>
  <si>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</si>
  <si>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</si>
  <si>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</si>
  <si>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</si>
  <si>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</si>
  <si>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</si>
  <si>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</si>
  <si>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</si>
  <si>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</si>
  <si>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</si>
  <si>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</si>
  <si>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</si>
  <si>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</si>
  <si>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</si>
  <si>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</si>
  <si>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</si>
  <si>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</si>
  <si>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</si>
  <si>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</si>
  <si>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</si>
  <si>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</si>
  <si>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</si>
  <si>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</si>
  <si>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</si>
  <si>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</si>
  <si>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</si>
  <si>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</si>
  <si>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</si>
  <si>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</si>
  <si>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</si>
  <si>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</si>
  <si>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</si>
  <si>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</si>
  <si>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</si>
  <si>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</si>
  <si>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</si>
  <si>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</si>
  <si>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</si>
  <si>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</si>
  <si>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</si>
  <si>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</si>
  <si>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</si>
  <si>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</si>
  <si>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</si>
  <si>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</si>
  <si>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</si>
  <si>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</si>
  <si>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</si>
  <si>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</si>
  <si>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</si>
  <si>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</si>
  <si>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</si>
  <si>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</si>
  <si>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</si>
  <si>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</si>
  <si>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</si>
  <si>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</si>
  <si>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</si>
  <si>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</si>
  <si>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</si>
  <si>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</si>
  <si>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</si>
  <si>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</si>
  <si>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</si>
  <si>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</si>
  <si>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</si>
  <si>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</si>
  <si>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</si>
  <si>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</si>
  <si>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</si>
  <si>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</si>
  <si>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</si>
  <si>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</si>
  <si>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</si>
  <si>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</si>
  <si>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</si>
  <si>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</si>
  <si>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</si>
  <si>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</si>
  <si>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</si>
  <si>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</si>
  <si>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</si>
  <si>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</si>
  <si>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</si>
  <si>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</si>
  <si>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</si>
  <si>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</si>
  <si>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</si>
  <si>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</si>
  <si>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</si>
  <si>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</si>
  <si>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</si>
  <si>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</si>
  <si>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</si>
  <si>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</si>
  <si>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</si>
  <si>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</si>
  <si>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</si>
  <si>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</si>
  <si>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</si>
  <si>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</si>
  <si>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</si>
  <si>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</si>
  <si>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</si>
  <si>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</si>
  <si>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</si>
  <si>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</si>
  <si>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</si>
  <si>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</si>
  <si>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</si>
  <si>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</si>
  <si>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</si>
  <si>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</si>
  <si>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</si>
  <si>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</si>
  <si>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</si>
  <si>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</si>
  <si>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</si>
  <si>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</si>
  <si>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</si>
  <si>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</si>
  <si>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</si>
  <si>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</si>
  <si>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</si>
  <si>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</si>
  <si>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</si>
  <si>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</si>
  <si>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</si>
  <si>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</si>
  <si>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</si>
  <si>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</si>
  <si>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</si>
  <si>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</si>
  <si>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</si>
  <si>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</si>
  <si>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</si>
  <si>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</si>
  <si>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</si>
  <si>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</si>
  <si>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</si>
  <si>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</si>
  <si>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</si>
  <si>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</si>
  <si>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</si>
  <si>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</si>
  <si>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</si>
  <si>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</si>
  <si>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</si>
  <si>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</si>
  <si>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</si>
  <si>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</si>
  <si>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</si>
  <si>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</si>
  <si>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</si>
  <si>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</si>
  <si>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</si>
  <si>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</si>
  <si>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</si>
  <si>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</si>
  <si>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</si>
  <si>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</si>
  <si>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</si>
  <si>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</si>
  <si>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</si>
  <si>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</si>
  <si>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</si>
  <si>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</si>
  <si>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</si>
  <si>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</si>
  <si>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</si>
  <si>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</si>
  <si>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</si>
  <si>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</si>
  <si>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</si>
  <si>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</si>
  <si>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</si>
  <si>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</si>
  <si>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</si>
  <si>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</si>
  <si>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</si>
  <si>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</si>
  <si>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</si>
  <si>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</si>
  <si>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</si>
  <si>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</si>
  <si>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</si>
  <si>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</si>
  <si>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</si>
  <si>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</si>
  <si>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</si>
  <si>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</si>
  <si>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</si>
  <si>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</si>
  <si>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</si>
  <si>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</si>
  <si>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</si>
  <si>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</si>
  <si>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</si>
  <si>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</si>
  <si>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</si>
  <si>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</si>
  <si>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</si>
  <si>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</si>
  <si>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</si>
  <si>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</si>
  <si>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</si>
  <si>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</si>
  <si>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</si>
  <si>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</si>
  <si>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</si>
  <si>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</si>
  <si>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</si>
  <si>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</si>
  <si>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</si>
  <si>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</si>
  <si>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</si>
  <si>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</si>
  <si>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</si>
  <si>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</si>
  <si>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</si>
  <si>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</si>
  <si>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</si>
  <si>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</si>
  <si>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</si>
  <si>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</si>
  <si>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</si>
  <si>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</si>
  <si>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</si>
  <si>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</si>
  <si>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</si>
  <si>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</si>
  <si>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</si>
  <si>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</si>
  <si>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</si>
  <si>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</si>
  <si>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</si>
  <si>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</si>
  <si>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</si>
  <si>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</si>
  <si>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</si>
  <si>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</si>
  <si>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</si>
  <si>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</si>
  <si>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</si>
  <si>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</si>
  <si>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</si>
  <si>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</si>
  <si>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</si>
  <si>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</si>
  <si>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</si>
  <si>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</si>
  <si>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</si>
  <si>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</si>
  <si>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</si>
  <si>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</si>
  <si>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</si>
  <si>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</si>
  <si>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</si>
  <si>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</si>
  <si>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</si>
  <si>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</si>
  <si>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</si>
  <si>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</si>
  <si>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</si>
  <si>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</si>
  <si>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</si>
  <si>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</si>
  <si>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</si>
  <si>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</si>
  <si>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</si>
  <si>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</si>
  <si>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</si>
  <si>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</si>
  <si>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</si>
  <si>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</si>
  <si>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</si>
  <si>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</si>
  <si>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</si>
  <si>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</si>
  <si>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</si>
  <si>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</si>
  <si>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</si>
  <si>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</si>
  <si>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</si>
  <si>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</si>
  <si>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</si>
  <si>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</si>
  <si>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</si>
  <si>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</si>
  <si>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National Sustainable Development Research Center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</si>
  <si>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</si>
  <si>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</si>
  <si>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</si>
  <si>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</si>
  <si>
    <t>Measures for Adjusting Transport Fuel Prices and Utilizing Tax Revenues to Promote the Transition to Zero-Emission Vehicles</t>
    <phoneticPr fontId="2" type="noConversion"/>
  </si>
  <si>
    <t>Strategies for the Integration of Climate Measures into Spatial Planning</t>
    <phoneticPr fontId="2" type="noConversion"/>
  </si>
  <si>
    <t>2026-045(R)</t>
  </si>
  <si>
    <t>자연생태계 복원 맞춤형 디지털 트윈 구축 관리 기술개발(1차년도)</t>
  </si>
  <si>
    <t>2026-046(R)</t>
  </si>
  <si>
    <t>훼손된 생태공간 회복을 위한 생태계 복원 기술개발(1차년도)</t>
  </si>
  <si>
    <t>2026-048(R)</t>
  </si>
  <si>
    <t>스마트시티 실증 및 서비스 확산을 지원하는 글로벌 표준화 거버넌스 기반조성(3차년도)</t>
  </si>
  <si>
    <t>2026-049</t>
  </si>
  <si>
    <t>환경영향평가 디지털 전환 로드맵 마련</t>
  </si>
  <si>
    <t>2026-050</t>
  </si>
  <si>
    <t>NDC 달성을 위한 탄소중립도시 지정 제도 활성화 방안 연구</t>
  </si>
  <si>
    <t>기후에너지환경부 녹색전환정책관</t>
  </si>
  <si>
    <t>2026-051</t>
  </si>
  <si>
    <t>도로·철도 등 교통소음 평가단위 일원화를 위한 로드맵 수립 연구</t>
  </si>
  <si>
    <t>기후에너지환경부 교통환경과</t>
  </si>
  <si>
    <t>2026-052</t>
  </si>
  <si>
    <t>생태계보전부담금의 기금화 설치 등 효율적 관리방안 연구</t>
  </si>
  <si>
    <t>2026-053</t>
  </si>
  <si>
    <t>2026-054</t>
  </si>
  <si>
    <t>국토환경 녹색복원 후보목록 4차년도 조사연구</t>
  </si>
  <si>
    <t>2026-055</t>
  </si>
  <si>
    <t>2026년 국가기후위기대응위원회 기후시민회의 숙의 운영</t>
  </si>
  <si>
    <t>2026-056(R)</t>
  </si>
  <si>
    <t>신규 개발사업의 환경유해인자 노출에 대한 AI 기반 건강영향평가 수행 자동화 기술 개발(1차년도)</t>
  </si>
  <si>
    <t>2026-057(R)</t>
  </si>
  <si>
    <t>GeoAI(공간정보 인공지능)을 활용한 환경보건 감시 및 평가·관리 기술 개발(1차년도)</t>
  </si>
  <si>
    <t>2026-058</t>
  </si>
  <si>
    <t>대기 배출영향분석 모델 고도화 로드맵 연구</t>
  </si>
  <si>
    <t>10144</t>
  </si>
  <si>
    <t>2026-059</t>
  </si>
  <si>
    <t>지속가능발전목표 이행 국가보고서(VNR) 작성 연구용역</t>
  </si>
  <si>
    <t>2026-060</t>
  </si>
  <si>
    <t>전자제품등자원순환법 전부개정 연구</t>
  </si>
  <si>
    <t>기후에너지환경부 미래폐자원순환이용추진단</t>
  </si>
  <si>
    <t>2026-061</t>
  </si>
  <si>
    <t>국가생물다양성전략 이행점검을 위한 지표 개발 및 평가 연구(3차년도)</t>
  </si>
  <si>
    <t>2026-062</t>
  </si>
  <si>
    <t>정보통신정책연구원</t>
  </si>
  <si>
    <t>2026-063</t>
  </si>
  <si>
    <t>대기-기후 유관 정책 상호 영향분석 연구</t>
  </si>
  <si>
    <t>기후에너지환경부 대기환경정책과</t>
  </si>
  <si>
    <t>2026-064</t>
  </si>
  <si>
    <t>탄소중립 이행점검 체계 고도화 및 운영 기반 구축</t>
  </si>
  <si>
    <t>2026-065</t>
  </si>
  <si>
    <t>화학물질 위해성평가 우선순위 목록 마련</t>
  </si>
  <si>
    <t>국립환경연구원</t>
  </si>
  <si>
    <t>2026-066</t>
  </si>
  <si>
    <t>생태복원형 국립휴양공원 지정을 위한 타당성조사 연구용역</t>
  </si>
  <si>
    <t>10251</t>
  </si>
  <si>
    <t>이승준</t>
  </si>
  <si>
    <t>충청남도청</t>
  </si>
  <si>
    <t>2026-067</t>
  </si>
  <si>
    <t>기후에너지환경부 기후에너지국제협력팀</t>
  </si>
  <si>
    <t>2026-068</t>
  </si>
  <si>
    <t>2026-069</t>
  </si>
  <si>
    <t>섬진강 하류 재첩 서식환경 실증조사 연구</t>
  </si>
  <si>
    <t>2026-070</t>
  </si>
  <si>
    <t>제2차 미세먼지 관리 종합계획('25~'29) 2025년 추진실적 평가 연구</t>
  </si>
  <si>
    <t>2026-071</t>
  </si>
  <si>
    <t>국내 대기환경 정책의 성과 및 향후 발전 방향 연구 용역</t>
  </si>
  <si>
    <t>50038</t>
  </si>
  <si>
    <t>2026-072</t>
  </si>
  <si>
    <t>물 분야 이니셔티브 이행을 위한 기반 마련 연구</t>
  </si>
  <si>
    <t>기후에너지환경부 물이용정책과</t>
  </si>
  <si>
    <t>2026-073</t>
  </si>
  <si>
    <t>공공하수도 기술진단 결과 평가제도 및 교육제도 도입 연구 용역</t>
  </si>
  <si>
    <t>한국환경공단,기후에너지환경부 생활하수과</t>
  </si>
  <si>
    <t>2026-074</t>
  </si>
  <si>
    <t>금강·영산강 하구 생태복원 방안 연구</t>
  </si>
  <si>
    <t>한국농어촌공사,기후에너지환경부</t>
  </si>
  <si>
    <t>2026-075</t>
  </si>
  <si>
    <t>기후변화 대응 생물다양성 변화 모니터링 연구.중장기 계획 마련</t>
  </si>
  <si>
    <t>2026-076</t>
  </si>
  <si>
    <t>완충저류시설 설치 확대를 위한 제도 이행 방안 마련</t>
  </si>
  <si>
    <t>2026-077</t>
  </si>
  <si>
    <t>환경영향평가 디지털트윈 사후관리시스템 시범운영</t>
  </si>
  <si>
    <t>RI2026-01</t>
  </si>
  <si>
    <t>AI 기반 연구지원 체계 구축 및 환경 데이터 허브 고도화</t>
  </si>
  <si>
    <t>RI2026-02</t>
  </si>
  <si>
    <t>KEI 국제기구·지역 협력 기반 강화 사업</t>
  </si>
  <si>
    <t>RI2026-05</t>
  </si>
  <si>
    <t>기후에너지 분야 이러닝 콘텐츠 개발</t>
  </si>
  <si>
    <t>RR2026-04</t>
  </si>
  <si>
    <t>기후변화에 따른 복합 자연재해 위험도 평가 방법론 정립 및 정책 대응방향</t>
  </si>
  <si>
    <t>RR2026-05</t>
  </si>
  <si>
    <t>관리 목적에 따른 하구 유형 구분 및 복원·관리 전략</t>
  </si>
  <si>
    <t>RR2026-06</t>
  </si>
  <si>
    <t xml:space="preserve">탄소중립전략 지원을 위한 기후대응기금 재원 조달 방안 연구 </t>
  </si>
  <si>
    <t>RR2026-07</t>
  </si>
  <si>
    <t xml:space="preserve">기후위기 대응 측면의 하천 수리구조물 영향 분석 및 정책방향 설계 </t>
  </si>
  <si>
    <t>RR2026-08</t>
  </si>
  <si>
    <t>김경호,최광훈</t>
  </si>
  <si>
    <t>RR2026-09</t>
  </si>
  <si>
    <t>국제 환경경제계정 체계를 반영한 자연자본 데이터 구축 방안 연구</t>
  </si>
  <si>
    <t>김현정,박준현</t>
  </si>
  <si>
    <t>RR2026-10</t>
  </si>
  <si>
    <t>2026년 환경 부문 국정과제 신속 대응 전략 및 중·장기 로드맵 마련</t>
  </si>
  <si>
    <t>10176</t>
  </si>
  <si>
    <t>신경희</t>
  </si>
  <si>
    <t>202508042</t>
  </si>
  <si>
    <t>RR2026-11</t>
  </si>
  <si>
    <t>동북아 기후환경 협력 전략 연구</t>
  </si>
  <si>
    <t>RR2026-12</t>
  </si>
  <si>
    <t>RR2026-13</t>
  </si>
  <si>
    <t>RR2026-14</t>
  </si>
  <si>
    <t>환경영향평가 사후관리 실효성 제고를 위한 드론 원격탐사 활용 방안 연구</t>
  </si>
  <si>
    <t>WO2026-04</t>
  </si>
  <si>
    <t>화학물질 안전관리를 위한 동물대체시험법 검증센터 설립·운영 방안 연구</t>
  </si>
  <si>
    <t>WO2026-05</t>
  </si>
  <si>
    <t xml:space="preserve">물산업 내수시장 활성화를 위한 국가 물관리 정책 동조화 전략 </t>
  </si>
  <si>
    <t>WO2026-06</t>
  </si>
  <si>
    <t>AI 데이터센터의 지속가능한 확장을 위한 법·제도 연구: 물-에너지 통합관리 관점으로</t>
  </si>
  <si>
    <t>수자원 다변화를 위한 지하수저류댐 연계 핵심기술 개발(2차년도)</t>
    <phoneticPr fontId="2" type="noConversion"/>
  </si>
  <si>
    <t>Core Technology Development for Groundwater Dam Integration to Diversify Water Resources (Year 2)</t>
    <phoneticPr fontId="2" type="noConversion"/>
  </si>
  <si>
    <t>전략환경영향평가 평가 기준 및 대상 계획 선정 현실화 방안 마련</t>
    <phoneticPr fontId="2" type="noConversion"/>
  </si>
  <si>
    <t>2026년 기후위기적응 민간대행사업</t>
    <phoneticPr fontId="2" type="noConversion"/>
  </si>
  <si>
    <t xml:space="preserve">Department of Planning and Strategy </t>
    <phoneticPr fontId="2" type="noConversion"/>
  </si>
  <si>
    <t>Department of Planning and Strategy</t>
    <phoneticPr fontId="2" type="noConversion"/>
  </si>
  <si>
    <t>Kim, Kyoung-Ho and Choi, Kwanghun</t>
    <phoneticPr fontId="2" type="noConversion"/>
  </si>
  <si>
    <t>Kim, Hyunjung and Park, Jun Hyun</t>
    <phoneticPr fontId="2" type="noConversion"/>
  </si>
  <si>
    <t>Development of Customized Digital Twin Technologies for the Management of Natural Ecosystem Restoration (Year 1)</t>
    <phoneticPr fontId="2" type="noConversion"/>
  </si>
  <si>
    <t>Development of Ecosystem Restoration Technologies for Recovering Degraded Ecological Areas (Year 1)</t>
    <phoneticPr fontId="2" type="noConversion"/>
  </si>
  <si>
    <t>Establishing a Global Standardization Governance Framework for Smart City Demonstration and Service Deployment (Year 3)</t>
    <phoneticPr fontId="2" type="noConversion"/>
  </si>
  <si>
    <t>Roadmap for the Digital Transformation of Environmental Impact Assessment</t>
    <phoneticPr fontId="2" type="noConversion"/>
  </si>
  <si>
    <t>Enhancing the Carbon-Neutral City Designation System to Achieve Nationally Determined Contributions (NDCs)</t>
    <phoneticPr fontId="2" type="noConversion"/>
  </si>
  <si>
    <t>Roadmap for Harmonizing Traffic Noise Assessment Metrics for Road and Rail Transport</t>
    <phoneticPr fontId="2" type="noConversion"/>
  </si>
  <si>
    <t>Improving the Management of the Ecosystem Conservation Charge through Fund-Based Mechanisms</t>
    <phoneticPr fontId="2" type="noConversion"/>
  </si>
  <si>
    <t>Support for the Preliminary Feasibility Assessment of the Iksan Wanggung Ecological Restoration Project</t>
    <phoneticPr fontId="2" type="noConversion"/>
  </si>
  <si>
    <t>Survey and Assessment of Candidate Sites for National Green Restoration (Year 2)</t>
    <phoneticPr fontId="2" type="noConversion"/>
  </si>
  <si>
    <t>Survey and Assessment of Candidate Sites for National Green Restoration (Year 4)</t>
    <phoneticPr fontId="2" type="noConversion"/>
  </si>
  <si>
    <t>Facilitation of the 2026 Climate Citizens' Assembly under the Presidential Commission on Climate Crisis Response</t>
    <phoneticPr fontId="2" type="noConversion"/>
  </si>
  <si>
    <t>Development of AI-Based Automated Health Impact Assessment Technologies for Environmental Hazard Exposure from New Development Projects (Year 1)</t>
    <phoneticPr fontId="2" type="noConversion"/>
  </si>
  <si>
    <t>Development of GeoAI-Based Technologies for Environmental Health Monitoring, Assessment, and Management (Year 1)</t>
    <phoneticPr fontId="2" type="noConversion"/>
  </si>
  <si>
    <t>Preparation of the Voluntary National Review (VNR) on Sustainable Development Goals</t>
    <phoneticPr fontId="2" type="noConversion"/>
  </si>
  <si>
    <t>Study on the Comprehensive Revision of the Act on Resource Circulation of Electrical and Electronic Equipment</t>
    <phoneticPr fontId="2" type="noConversion"/>
  </si>
  <si>
    <t>Indicator Development for Evaluating National Biodiversity Strategy Implementation (Year 2)</t>
    <phoneticPr fontId="2" type="noConversion"/>
  </si>
  <si>
    <t>Indicator Development and Assessment for Evaluating National Biodiversity Strategy Implementation (Year 3)</t>
    <phoneticPr fontId="2" type="noConversion"/>
  </si>
  <si>
    <t>Assessing Interactions Between Air Quality and Climate Policies</t>
    <phoneticPr fontId="2" type="noConversion"/>
  </si>
  <si>
    <t>Enhancing the Carbon Neutrality Monitoring Framework and Operational Infrastructure</t>
    <phoneticPr fontId="2" type="noConversion"/>
  </si>
  <si>
    <t>Establishing Priority Lists for Chemical Risk Assessment</t>
    <phoneticPr fontId="2" type="noConversion"/>
  </si>
  <si>
    <t>Feasibility Study for the Designation of an Ecological Restoration-Oriented National Recreation Park</t>
    <phoneticPr fontId="2" type="noConversion"/>
  </si>
  <si>
    <t>2026년 OECD IFCMA 및 기후클럽 논의 대응 연구</t>
    <phoneticPr fontId="2" type="noConversion"/>
  </si>
  <si>
    <t>토지이용·토지이용변화 MRV체계 구축 연구(4차)</t>
    <phoneticPr fontId="2" type="noConversion"/>
  </si>
  <si>
    <t>Development of an MRV System for Land Use and Land-Use Change (Phase 4)</t>
    <phoneticPr fontId="2" type="noConversion"/>
  </si>
  <si>
    <r>
      <t xml:space="preserve">Field Investigation of </t>
    </r>
    <r>
      <rPr>
        <i/>
        <sz val="11"/>
        <rFont val="맑은 고딕"/>
        <family val="3"/>
        <charset val="129"/>
        <scheme val="minor"/>
      </rPr>
      <t>Corbicula japonica</t>
    </r>
    <r>
      <rPr>
        <sz val="11"/>
        <rFont val="맑은 고딕"/>
        <family val="2"/>
        <scheme val="minor"/>
      </rPr>
      <t xml:space="preserve"> Habitats in the Lower Seomjin River</t>
    </r>
    <phoneticPr fontId="2" type="noConversion"/>
  </si>
  <si>
    <t>Field Investigation of Corbicula japonica Habitats in the Lower Seomjin River (Phase 2)</t>
    <phoneticPr fontId="2" type="noConversion"/>
  </si>
  <si>
    <t>Evaluation of the 2025 Implementation of the Second Comprehensive Plan for Fine Dust Management (2025–2029)</t>
    <phoneticPr fontId="2" type="noConversion"/>
  </si>
  <si>
    <t>Assessment of Air Quality Policy Performance in Korea and Future Directions</t>
    <phoneticPr fontId="2" type="noConversion"/>
  </si>
  <si>
    <t>Developing Evaluation and Training Frameworks for Public Sewerage Technical Assessments</t>
    <phoneticPr fontId="2" type="noConversion"/>
  </si>
  <si>
    <t>Strategies for Ecological Restoration of the Geum and Yeongsan River Estuaries</t>
    <phoneticPr fontId="2" type="noConversion"/>
  </si>
  <si>
    <t>Policy Measures to Promote the Expansion of Stormwater Retention Facilities</t>
    <phoneticPr fontId="2" type="noConversion"/>
  </si>
  <si>
    <t>Establishing an AI-Based Research Support System and Advancing the Environmental Data Hub</t>
    <phoneticPr fontId="2" type="noConversion"/>
  </si>
  <si>
    <t>Strengthening KEI's International and Regional Cooperation Framework</t>
    <phoneticPr fontId="2" type="noConversion"/>
  </si>
  <si>
    <t>Development of E-Learning Content on Climate and Energy</t>
    <phoneticPr fontId="2" type="noConversion"/>
  </si>
  <si>
    <t>Estuary Classification and Restoration Strategies Based on Management Objectives</t>
    <phoneticPr fontId="2" type="noConversion"/>
  </si>
  <si>
    <t>Financing Strategies for Climate Response Funds to Advance Carbon Neutrality</t>
    <phoneticPr fontId="2" type="noConversion"/>
  </si>
  <si>
    <t>Impact Assessment of River Hydraulic Structures under Climate Change and Policy Development</t>
    <phoneticPr fontId="2" type="noConversion"/>
  </si>
  <si>
    <t>A Study on Developing Natural Capital Accounting Data Systems Based on the SEEA Framework</t>
    <phoneticPr fontId="2" type="noConversion"/>
  </si>
  <si>
    <t>Strategic Responses to the 2026 National Environmental Policy Agenda: A Mid-to-Long-Term Roadmap</t>
    <phoneticPr fontId="2" type="noConversion"/>
  </si>
  <si>
    <t>Climate and Environmental Cooperation Strategies for Northeast Asia</t>
    <phoneticPr fontId="2" type="noConversion"/>
  </si>
  <si>
    <t>재생에너지 보급 확대를 통한 지역발전 전략 연구</t>
    <phoneticPr fontId="2" type="noConversion"/>
  </si>
  <si>
    <t>생물다양성-재생에너지 공존을 위한 한국형 자연순증 정책도입 타당성 연구</t>
    <phoneticPr fontId="2" type="noConversion"/>
  </si>
  <si>
    <t>Advancing Environmental Impact Assessment Follow-Up Management Using Drone-Based Remote Sensing</t>
    <phoneticPr fontId="2" type="noConversion"/>
  </si>
  <si>
    <t>Establishing a Validation Center for Alternative Methods to Animal Testing in Chemical Safety Assessment</t>
    <phoneticPr fontId="2" type="noConversion"/>
  </si>
  <si>
    <t>Strategies for Aligning National Water Management Policies to Promote the Domestic Water Industry</t>
    <phoneticPr fontId="2" type="noConversion"/>
  </si>
  <si>
    <t>Legal and Institutional Frameworks for the Sustainable Expansion of AI Data Centers: An Integrated Water–Energy Management Perspective</t>
    <phoneticPr fontId="2" type="noConversion"/>
  </si>
  <si>
    <t>익산왕궁 자연환경복원사업 예비타당성조사 대응 지원 용역</t>
    <phoneticPr fontId="2" type="noConversion"/>
  </si>
  <si>
    <t>Roadmap for Advancing Air Emissions Impact Assessment Models</t>
    <phoneticPr fontId="2" type="noConversion"/>
  </si>
  <si>
    <t>Strategic Responses to the 2026 OECD IFCMA and Climate Club Discussions</t>
    <phoneticPr fontId="2" type="noConversion"/>
  </si>
  <si>
    <t>Strategic Responses to the 2025 OECD IFCMA and Climate Club Discussions</t>
    <phoneticPr fontId="2" type="noConversion"/>
  </si>
  <si>
    <t>Developing a Long-Term Strategy for Monitoring Biodiversity Changes under Climate Change</t>
    <phoneticPr fontId="2" type="noConversion"/>
  </si>
  <si>
    <t>Developing Risk Assessment Methodologies for Compound Climate-Related Hazards and Policy Responses</t>
    <phoneticPr fontId="2" type="noConversion"/>
  </si>
  <si>
    <t>온톨로지(Ontology) 기반 지능형(AI) 환경정책 정보 지원 프레임워크 구축</t>
    <phoneticPr fontId="2" type="noConversion"/>
  </si>
  <si>
    <t>Regional Development Strategies Driven by Renewable Energy Expansion</t>
    <phoneticPr fontId="2" type="noConversion"/>
  </si>
  <si>
    <t>Feasibility of Introducing a Korean Biodiversity Net Gain Policy to Promote Compatibility between Biodiversity Conservation and Renewable Energy Development</t>
    <phoneticPr fontId="2" type="noConversion"/>
  </si>
  <si>
    <t>Strengthening the Foundation for Water Sector Initiatives</t>
    <phoneticPr fontId="2" type="noConversion"/>
  </si>
  <si>
    <t>Pilot Implementation of a Digital Twin-Based Environmental Impact Assessment Follow-Up Management System</t>
    <phoneticPr fontId="2" type="noConversion"/>
  </si>
  <si>
    <t>Developing an Ontology-Based AI Framework for Environmental Policy Decision Support</t>
    <phoneticPr fontId="2" type="noConversion"/>
  </si>
  <si>
    <t>뉴스 빅데이터와 LLM을 활용한 대기질 환경수용성지수 산출 방법론 개발</t>
    <phoneticPr fontId="2" type="noConversion"/>
  </si>
  <si>
    <t>Developing a Methodology for an Air Quality Perception Index Using News Big Data and Large Language Models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</si>
</sst>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i/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CBCBCB"/>
      </right>
      <top/>
      <bottom style="thin">
        <color rgb="FFCBCBCB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  <xf numFmtId="0" fontId="3" fillId="2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76" fontId="9" fillId="0" borderId="3" xfId="0" applyNumberFormat="1" applyFont="1" applyBorder="1" applyAlignment="1">
      <alignment horizontal="right" vertical="center" wrapText="1"/>
    </xf>
    <xf numFmtId="179" fontId="9" fillId="0" borderId="3" xfId="0" applyNumberFormat="1" applyFont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BEDE2FC0-0BAE-49D6-8F45-891CF620899E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417"/>
  <sheetViews>
    <sheetView tabSelected="1" zoomScaleNormal="100" workbookViewId="0">
      <pane ySplit="4" topLeftCell="A5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45" t="s">
        <v>1811</v>
      </c>
      <c r="C2" s="45"/>
      <c r="D2" s="45"/>
      <c r="E2" s="45"/>
      <c r="F2" s="45"/>
      <c r="G2" s="45"/>
      <c r="H2" s="45"/>
    </row>
    <row r="3" spans="1:8" ht="41.25">
      <c r="B3" s="4"/>
      <c r="C3" s="4"/>
      <c r="D3" s="4"/>
      <c r="E3" s="4"/>
      <c r="F3" s="4"/>
    </row>
    <row r="4" spans="1:8">
      <c r="A4" s="11"/>
      <c r="B4" s="53" t="s">
        <v>0</v>
      </c>
      <c r="C4" s="53" t="s">
        <v>1</v>
      </c>
      <c r="D4" s="53" t="s">
        <v>2</v>
      </c>
      <c r="E4" s="53" t="s">
        <v>3</v>
      </c>
      <c r="F4" s="53" t="s">
        <v>4</v>
      </c>
      <c r="G4" s="54" t="s">
        <v>5</v>
      </c>
      <c r="H4" s="55" t="s">
        <v>6</v>
      </c>
    </row>
    <row r="5" spans="1:8" ht="33">
      <c r="A5" s="15" t="s">
        <v>22</v>
      </c>
      <c r="B5" s="12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2" t="str">
        <f>VLOOKUP($A5,'DB1'!$C:$Q,12,0)</f>
        <v>Supporting Danyang’s Bid for UNESCO Global Geopark Status</v>
      </c>
      <c r="D5" s="11" t="str">
        <f>VLOOKUP($A5,'DB1'!$C:$Q,13,0)</f>
        <v>Lee, Soojae</v>
      </c>
      <c r="E5" s="12" t="str">
        <f>VLOOKUP($A5,'DB1'!$C:$Q,14,0)</f>
        <v>Ecology</v>
      </c>
      <c r="F5" s="12" t="str">
        <f>VLOOKUP($A5,'DB1'!$C:$Q,15,0)</f>
        <v>Land and Urban Environment</v>
      </c>
      <c r="G5" s="13">
        <f>VLOOKUP($A5,'DB1'!$C:$Q,9,0)</f>
        <v>45054</v>
      </c>
      <c r="H5" s="13">
        <f>VLOOKUP($A5,'DB1'!$C:$Q,10,0)</f>
        <v>45713</v>
      </c>
    </row>
    <row r="6" spans="1:8" ht="33">
      <c r="A6" s="15" t="s">
        <v>30</v>
      </c>
      <c r="B6" s="12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2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2" t="str">
        <f>VLOOKUP($A6,'DB1'!$C:$Q,14,0)</f>
        <v>Ecology</v>
      </c>
      <c r="F6" s="12" t="str">
        <f>VLOOKUP($A6,'DB1'!$C:$Q,15,0)</f>
        <v>Land and Urban Environment</v>
      </c>
      <c r="G6" s="13">
        <f>VLOOKUP($A6,'DB1'!$C:$Q,9,0)</f>
        <v>45056</v>
      </c>
      <c r="H6" s="13">
        <f>VLOOKUP($A6,'DB1'!$C:$Q,10,0)</f>
        <v>46275</v>
      </c>
    </row>
    <row r="7" spans="1:8" ht="33">
      <c r="A7" s="15" t="s">
        <v>35</v>
      </c>
      <c r="B7" s="12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2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2" t="str">
        <f>VLOOKUP($A7,'DB1'!$C:$Q,14,0)</f>
        <v>Socio-Environmental Interface</v>
      </c>
      <c r="F7" s="12" t="str">
        <f>VLOOKUP($A7,'DB1'!$C:$Q,15,0)</f>
        <v>Carbon Neutrality and Energy</v>
      </c>
      <c r="G7" s="13">
        <f>VLOOKUP($A7,'DB1'!$C:$Q,9,0)</f>
        <v>45287</v>
      </c>
      <c r="H7" s="13">
        <f>VLOOKUP($A7,'DB1'!$C:$Q,10,0)</f>
        <v>45961</v>
      </c>
    </row>
    <row r="8" spans="1:8" ht="33">
      <c r="A8" s="15" t="s">
        <v>42</v>
      </c>
      <c r="B8" s="12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2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2" t="str">
        <f>VLOOKUP($A8,'DB1'!$C:$Q,14,0)</f>
        <v>Land and Urban Environment</v>
      </c>
      <c r="F8" s="12" t="str">
        <f>VLOOKUP($A8,'DB1'!$C:$Q,15,0)</f>
        <v>Ecology</v>
      </c>
      <c r="G8" s="13">
        <f>VLOOKUP($A8,'DB1'!$C:$Q,9,0)</f>
        <v>45309</v>
      </c>
      <c r="H8" s="13">
        <f>VLOOKUP($A8,'DB1'!$C:$Q,10,0)</f>
        <v>45673</v>
      </c>
    </row>
    <row r="9" spans="1:8" ht="49.5">
      <c r="A9" s="15" t="s">
        <v>68</v>
      </c>
      <c r="B9" s="12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2" t="str">
        <f>VLOOKUP($A9,'DB1'!$C:$Q,12,0)</f>
        <v>Philippine Climate Resilience Cities Project (KOICA)</v>
      </c>
      <c r="D9" s="11" t="str">
        <f>VLOOKUP($A9,'DB1'!$C:$Q,13,0)</f>
        <v>Cho, Hanna</v>
      </c>
      <c r="E9" s="12" t="str">
        <f>VLOOKUP($A9,'DB1'!$C:$Q,14,0)</f>
        <v>Climate Adaptation</v>
      </c>
      <c r="F9" s="12" t="str">
        <f>VLOOKUP($A9,'DB1'!$C:$Q,15,0)</f>
        <v>International Environmental Collaboration</v>
      </c>
      <c r="G9" s="13">
        <f>VLOOKUP($A9,'DB1'!$C:$Q,9,0)</f>
        <v>45349</v>
      </c>
      <c r="H9" s="13">
        <f>VLOOKUP($A9,'DB1'!$C:$Q,10,0)</f>
        <v>46387</v>
      </c>
    </row>
    <row r="10" spans="1:8" ht="33">
      <c r="A10" s="15" t="s">
        <v>54</v>
      </c>
      <c r="B10" s="12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2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2" t="str">
        <f>VLOOKUP($A10,'DB1'!$C:$Q,14,0)</f>
        <v>AI and Environmental Informatics</v>
      </c>
      <c r="F10" s="12" t="str">
        <f>VLOOKUP($A10,'DB1'!$C:$Q,15,0)</f>
        <v>Ecology</v>
      </c>
      <c r="G10" s="13">
        <f>VLOOKUP($A10,'DB1'!$C:$Q,9,0)</f>
        <v>45352</v>
      </c>
      <c r="H10" s="13">
        <f>VLOOKUP($A10,'DB1'!$C:$Q,10,0)</f>
        <v>45716</v>
      </c>
    </row>
    <row r="11" spans="1:8" ht="33">
      <c r="A11" s="15" t="s">
        <v>61</v>
      </c>
      <c r="B11" s="12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2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2" t="str">
        <f>VLOOKUP($A11,'DB1'!$C:$Q,14,0)</f>
        <v>Water Management</v>
      </c>
      <c r="F11" s="12" t="str">
        <f>VLOOKUP($A11,'DB1'!$C:$Q,15,0)</f>
        <v>Environmental Economics</v>
      </c>
      <c r="G11" s="13">
        <f>VLOOKUP($A11,'DB1'!$C:$Q,9,0)</f>
        <v>45352</v>
      </c>
      <c r="H11" s="13">
        <f>VLOOKUP($A11,'DB1'!$C:$Q,10,0)</f>
        <v>45716</v>
      </c>
    </row>
    <row r="12" spans="1:8" ht="33">
      <c r="A12" s="15" t="s">
        <v>76</v>
      </c>
      <c r="B12" s="12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2" t="str">
        <f>VLOOKUP($A12,'DB1'!$C:$Q,12,0)</f>
        <v>Survey and Assessment of Candidate Sites for National Green Restoration (Year 2)</v>
      </c>
      <c r="D12" s="11" t="str">
        <f>VLOOKUP($A12,'DB1'!$C:$Q,13,0)</f>
        <v>Son, Seungwoo</v>
      </c>
      <c r="E12" s="12" t="str">
        <f>VLOOKUP($A12,'DB1'!$C:$Q,14,0)</f>
        <v>Land and Urban Environment</v>
      </c>
      <c r="F12" s="12" t="str">
        <f>VLOOKUP($A12,'DB1'!$C:$Q,15,0)</f>
        <v>Ecology</v>
      </c>
      <c r="G12" s="13">
        <f>VLOOKUP($A12,'DB1'!$C:$Q,9,0)</f>
        <v>45371</v>
      </c>
      <c r="H12" s="13">
        <f>VLOOKUP($A12,'DB1'!$C:$Q,10,0)</f>
        <v>45735</v>
      </c>
    </row>
    <row r="13" spans="1:8" ht="33">
      <c r="A13" s="15" t="s">
        <v>78</v>
      </c>
      <c r="B13" s="12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2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2" t="str">
        <f>VLOOKUP($A13,'DB1'!$C:$Q,14,0)</f>
        <v>AI and Environmental Informatics</v>
      </c>
      <c r="F13" s="12" t="str">
        <f>VLOOKUP($A13,'DB1'!$C:$Q,15,0)</f>
        <v>Land and Urban Environment</v>
      </c>
      <c r="G13" s="13">
        <f>VLOOKUP($A13,'DB1'!$C:$Q,9,0)</f>
        <v>45372</v>
      </c>
      <c r="H13" s="13">
        <f>VLOOKUP($A13,'DB1'!$C:$Q,10,0)</f>
        <v>45671</v>
      </c>
    </row>
    <row r="14" spans="1:8" ht="33">
      <c r="A14" s="15" t="s">
        <v>83</v>
      </c>
      <c r="B14" s="12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2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2" t="str">
        <f>VLOOKUP($A14,'DB1'!$C:$Q,14,0)</f>
        <v>Environmental Assessment</v>
      </c>
      <c r="F14" s="12" t="str">
        <f>VLOOKUP($A14,'DB1'!$C:$Q,15,0)</f>
        <v>Carbon Neutrality and Energy</v>
      </c>
      <c r="G14" s="13">
        <f>VLOOKUP($A14,'DB1'!$C:$Q,9,0)</f>
        <v>45380</v>
      </c>
      <c r="H14" s="13">
        <f>VLOOKUP($A14,'DB1'!$C:$Q,10,0)</f>
        <v>45679</v>
      </c>
    </row>
    <row r="15" spans="1:8" ht="33">
      <c r="A15" s="15" t="s">
        <v>105</v>
      </c>
      <c r="B15" s="12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2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2" t="str">
        <f>VLOOKUP($A15,'DB1'!$C:$Q,14,0)</f>
        <v>Environmental Health</v>
      </c>
      <c r="F15" s="12" t="str">
        <f>VLOOKUP($A15,'DB1'!$C:$Q,15,0)</f>
        <v>Atmospheric Environment</v>
      </c>
      <c r="G15" s="13">
        <f>VLOOKUP($A15,'DB1'!$C:$Q,9,0)</f>
        <v>45383</v>
      </c>
      <c r="H15" s="13">
        <f>VLOOKUP($A15,'DB1'!$C:$Q,10,0)</f>
        <v>45777</v>
      </c>
    </row>
    <row r="16" spans="1:8">
      <c r="A16" s="15" t="s">
        <v>895</v>
      </c>
      <c r="B16" s="12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2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2" t="str">
        <f>VLOOKUP($A16,'DB1'!$C:$Q,14,0)</f>
        <v>Climate Adaptation</v>
      </c>
      <c r="F16" s="12">
        <f>VLOOKUP($A16,'DB1'!$C:$Q,15,0)</f>
        <v>0</v>
      </c>
      <c r="G16" s="13">
        <f>VLOOKUP($A16,'DB1'!$C:$Q,9,0)</f>
        <v>45383</v>
      </c>
      <c r="H16" s="13">
        <f>VLOOKUP($A16,'DB1'!$C:$Q,10,0)</f>
        <v>45808</v>
      </c>
    </row>
    <row r="17" spans="1:8" ht="33">
      <c r="A17" s="15" t="s">
        <v>897</v>
      </c>
      <c r="B17" s="12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2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2" t="str">
        <f>VLOOKUP($A17,'DB1'!$C:$Q,14,0)</f>
        <v>AI and Environmental Informatics</v>
      </c>
      <c r="F17" s="12" t="str">
        <f>VLOOKUP($A17,'DB1'!$C:$Q,15,0)</f>
        <v>Environmental Assessment</v>
      </c>
      <c r="G17" s="13">
        <f>VLOOKUP($A17,'DB1'!$C:$Q,9,0)</f>
        <v>45383</v>
      </c>
      <c r="H17" s="13">
        <f>VLOOKUP($A17,'DB1'!$C:$Q,10,0)</f>
        <v>45747</v>
      </c>
    </row>
    <row r="18" spans="1:8" ht="33">
      <c r="A18" s="15" t="s">
        <v>900</v>
      </c>
      <c r="B18" s="12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2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2" t="str">
        <f>VLOOKUP($A18,'DB1'!$C:$Q,14,0)</f>
        <v>Carbon Neutrality and Energy</v>
      </c>
      <c r="F18" s="12" t="str">
        <f>VLOOKUP($A18,'DB1'!$C:$Q,15,0)</f>
        <v>Land and Urban Environment</v>
      </c>
      <c r="G18" s="13">
        <f>VLOOKUP($A18,'DB1'!$C:$Q,9,0)</f>
        <v>45383</v>
      </c>
      <c r="H18" s="13">
        <f>VLOOKUP($A18,'DB1'!$C:$Q,10,0)</f>
        <v>45747</v>
      </c>
    </row>
    <row r="19" spans="1:8" ht="33">
      <c r="A19" s="15" t="s">
        <v>49</v>
      </c>
      <c r="B19" s="12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2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2" t="str">
        <f>VLOOKUP($A19,'DB1'!$C:$Q,14,0)</f>
        <v>Environmental Health</v>
      </c>
      <c r="F19" s="12" t="str">
        <f>VLOOKUP($A19,'DB1'!$C:$Q,15,0)</f>
        <v>Ecology</v>
      </c>
      <c r="G19" s="13">
        <f>VLOOKUP($A19,'DB1'!$C:$Q,9,0)</f>
        <v>45390</v>
      </c>
      <c r="H19" s="13">
        <f>VLOOKUP($A19,'DB1'!$C:$Q,10,0)</f>
        <v>45815</v>
      </c>
    </row>
    <row r="20" spans="1:8" ht="49.5">
      <c r="A20" s="15" t="s">
        <v>89</v>
      </c>
      <c r="B20" s="12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2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2" t="str">
        <f>VLOOKUP($A20,'DB1'!$C:$Q,14,0)</f>
        <v>Water Management</v>
      </c>
      <c r="F20" s="12" t="str">
        <f>VLOOKUP($A20,'DB1'!$C:$Q,15,0)</f>
        <v>International Environmental Collaboration</v>
      </c>
      <c r="G20" s="13">
        <f>VLOOKUP($A20,'DB1'!$C:$Q,9,0)</f>
        <v>45399</v>
      </c>
      <c r="H20" s="13">
        <f>VLOOKUP($A20,'DB1'!$C:$Q,10,0)</f>
        <v>45698</v>
      </c>
    </row>
    <row r="21" spans="1:8" ht="33">
      <c r="A21" s="15" t="s">
        <v>95</v>
      </c>
      <c r="B21" s="12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2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2" t="str">
        <f>VLOOKUP($A21,'DB1'!$C:$Q,14,0)</f>
        <v>Environmental Economics</v>
      </c>
      <c r="F21" s="12">
        <f>VLOOKUP($A21,'DB1'!$C:$Q,15,0)</f>
        <v>0</v>
      </c>
      <c r="G21" s="13">
        <f>VLOOKUP($A21,'DB1'!$C:$Q,9,0)</f>
        <v>45400</v>
      </c>
      <c r="H21" s="13">
        <f>VLOOKUP($A21,'DB1'!$C:$Q,10,0)</f>
        <v>45669</v>
      </c>
    </row>
    <row r="22" spans="1:8" ht="33">
      <c r="A22" s="15" t="s">
        <v>101</v>
      </c>
      <c r="B22" s="12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2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2" t="str">
        <f>VLOOKUP($A22,'DB1'!$C:$Q,14,0)</f>
        <v>Land and Urban Environment</v>
      </c>
      <c r="F22" s="12" t="str">
        <f>VLOOKUP($A22,'DB1'!$C:$Q,15,0)</f>
        <v>Ecology</v>
      </c>
      <c r="G22" s="13">
        <f>VLOOKUP($A22,'DB1'!$C:$Q,9,0)</f>
        <v>45408</v>
      </c>
      <c r="H22" s="13">
        <f>VLOOKUP($A22,'DB1'!$C:$Q,10,0)</f>
        <v>45772</v>
      </c>
    </row>
    <row r="23" spans="1:8" ht="49.5">
      <c r="A23" s="15" t="s">
        <v>108</v>
      </c>
      <c r="B23" s="12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2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2" t="str">
        <f>VLOOKUP($A23,'DB1'!$C:$Q,14,0)</f>
        <v>International Environmental Collaboration</v>
      </c>
      <c r="F23" s="12">
        <f>VLOOKUP($A23,'DB1'!$C:$Q,15,0)</f>
        <v>0</v>
      </c>
      <c r="G23" s="13">
        <f>VLOOKUP($A23,'DB1'!$C:$Q,9,0)</f>
        <v>45413</v>
      </c>
      <c r="H23" s="13">
        <f>VLOOKUP($A23,'DB1'!$C:$Q,10,0)</f>
        <v>45714</v>
      </c>
    </row>
    <row r="24" spans="1:8" ht="33">
      <c r="A24" s="15" t="s">
        <v>892</v>
      </c>
      <c r="B24" s="12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2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2" t="str">
        <f>VLOOKUP($A24,'DB1'!$C:$Q,14,0)</f>
        <v>AI and Environmental Informatics</v>
      </c>
      <c r="F24" s="12" t="str">
        <f>VLOOKUP($A24,'DB1'!$C:$Q,15,0)</f>
        <v>Marine Environment</v>
      </c>
      <c r="G24" s="13">
        <f>VLOOKUP($A24,'DB1'!$C:$Q,9,0)</f>
        <v>45413</v>
      </c>
      <c r="H24" s="13">
        <f>VLOOKUP($A24,'DB1'!$C:$Q,10,0)</f>
        <v>45777</v>
      </c>
    </row>
    <row r="25" spans="1:8" ht="33">
      <c r="A25" s="15" t="s">
        <v>901</v>
      </c>
      <c r="B25" s="12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2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2" t="str">
        <f>VLOOKUP($A25,'DB1'!$C:$Q,14,0)</f>
        <v>Carbon Neutrality and Energy</v>
      </c>
      <c r="F25" s="12" t="str">
        <f>VLOOKUP($A25,'DB1'!$C:$Q,15,0)</f>
        <v>Sustainable Development</v>
      </c>
      <c r="G25" s="13">
        <f>VLOOKUP($A25,'DB1'!$C:$Q,9,0)</f>
        <v>45413</v>
      </c>
      <c r="H25" s="13">
        <f>VLOOKUP($A25,'DB1'!$C:$Q,10,0)</f>
        <v>45777</v>
      </c>
    </row>
    <row r="26" spans="1:8">
      <c r="A26" s="15" t="s">
        <v>904</v>
      </c>
      <c r="B26" s="12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2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2" t="str">
        <f>VLOOKUP($A26,'DB1'!$C:$Q,14,0)</f>
        <v>Water Management</v>
      </c>
      <c r="F26" s="12" t="str">
        <f>VLOOKUP($A26,'DB1'!$C:$Q,15,0)</f>
        <v>Climate Adaptation</v>
      </c>
      <c r="G26" s="13">
        <f>VLOOKUP($A26,'DB1'!$C:$Q,9,0)</f>
        <v>45413</v>
      </c>
      <c r="H26" s="13">
        <f>VLOOKUP($A26,'DB1'!$C:$Q,10,0)</f>
        <v>45777</v>
      </c>
    </row>
    <row r="27" spans="1:8" ht="33">
      <c r="A27" s="15" t="s">
        <v>906</v>
      </c>
      <c r="B27" s="12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2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2" t="str">
        <f>VLOOKUP($A27,'DB1'!$C:$Q,14,0)</f>
        <v>Environmental Economics</v>
      </c>
      <c r="F27" s="12" t="str">
        <f>VLOOKUP($A27,'DB1'!$C:$Q,15,0)</f>
        <v>Circular Economy</v>
      </c>
      <c r="G27" s="13">
        <f>VLOOKUP($A27,'DB1'!$C:$Q,9,0)</f>
        <v>45413</v>
      </c>
      <c r="H27" s="13">
        <f>VLOOKUP($A27,'DB1'!$C:$Q,10,0)</f>
        <v>45777</v>
      </c>
    </row>
    <row r="28" spans="1:8" ht="33">
      <c r="A28" s="15" t="s">
        <v>909</v>
      </c>
      <c r="B28" s="12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2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2" t="str">
        <f>VLOOKUP($A28,'DB1'!$C:$Q,14,0)</f>
        <v>Atmospheric Environment</v>
      </c>
      <c r="F28" s="12" t="str">
        <f>VLOOKUP($A28,'DB1'!$C:$Q,15,0)</f>
        <v>Carbon Neutrality and Energy</v>
      </c>
      <c r="G28" s="13">
        <f>VLOOKUP($A28,'DB1'!$C:$Q,9,0)</f>
        <v>45413</v>
      </c>
      <c r="H28" s="13">
        <f>VLOOKUP($A28,'DB1'!$C:$Q,10,0)</f>
        <v>45777</v>
      </c>
    </row>
    <row r="29" spans="1:8" ht="33">
      <c r="A29" s="15" t="s">
        <v>912</v>
      </c>
      <c r="B29" s="12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2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2" t="str">
        <f>VLOOKUP($A29,'DB1'!$C:$Q,14,0)</f>
        <v>Environmental Assessment</v>
      </c>
      <c r="F29" s="12" t="str">
        <f>VLOOKUP($A29,'DB1'!$C:$Q,15,0)</f>
        <v>Water Management</v>
      </c>
      <c r="G29" s="13">
        <f>VLOOKUP($A29,'DB1'!$C:$Q,9,0)</f>
        <v>45413</v>
      </c>
      <c r="H29" s="13">
        <f>VLOOKUP($A29,'DB1'!$C:$Q,10,0)</f>
        <v>45777</v>
      </c>
    </row>
    <row r="30" spans="1:8" ht="49.5">
      <c r="A30" s="15" t="s">
        <v>916</v>
      </c>
      <c r="B30" s="12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2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2" t="str">
        <f>VLOOKUP($A30,'DB1'!$C:$Q,14,0)</f>
        <v>Carbon Neutrality and Energy</v>
      </c>
      <c r="F30" s="12" t="str">
        <f>VLOOKUP($A30,'DB1'!$C:$Q,15,0)</f>
        <v>International Environmental Collaboration</v>
      </c>
      <c r="G30" s="13">
        <f>VLOOKUP($A30,'DB1'!$C:$Q,9,0)</f>
        <v>45413</v>
      </c>
      <c r="H30" s="13">
        <f>VLOOKUP($A30,'DB1'!$C:$Q,10,0)</f>
        <v>45777</v>
      </c>
    </row>
    <row r="31" spans="1:8" ht="49.5">
      <c r="A31" s="15" t="s">
        <v>918</v>
      </c>
      <c r="B31" s="12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2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2" t="str">
        <f>VLOOKUP($A31,'DB1'!$C:$Q,14,0)</f>
        <v>Land and Urban Environment</v>
      </c>
      <c r="F31" s="12" t="str">
        <f>VLOOKUP($A31,'DB1'!$C:$Q,15,0)</f>
        <v>International Environmental Collaboration</v>
      </c>
      <c r="G31" s="13">
        <f>VLOOKUP($A31,'DB1'!$C:$Q,9,0)</f>
        <v>45413</v>
      </c>
      <c r="H31" s="13">
        <f>VLOOKUP($A31,'DB1'!$C:$Q,10,0)</f>
        <v>45777</v>
      </c>
    </row>
    <row r="32" spans="1:8" ht="33">
      <c r="A32" s="15" t="s">
        <v>920</v>
      </c>
      <c r="B32" s="12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2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2" t="str">
        <f>VLOOKUP($A32,'DB1'!$C:$Q,14,0)</f>
        <v>AI and Environmental Informatics</v>
      </c>
      <c r="F32" s="12">
        <f>VLOOKUP($A32,'DB1'!$C:$Q,15,0)</f>
        <v>0</v>
      </c>
      <c r="G32" s="13">
        <f>VLOOKUP($A32,'DB1'!$C:$Q,9,0)</f>
        <v>45413</v>
      </c>
      <c r="H32" s="13">
        <f>VLOOKUP($A32,'DB1'!$C:$Q,10,0)</f>
        <v>45777</v>
      </c>
    </row>
    <row r="33" spans="1:8" ht="49.5">
      <c r="A33" s="15" t="s">
        <v>924</v>
      </c>
      <c r="B33" s="12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2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2" t="str">
        <f>VLOOKUP($A33,'DB1'!$C:$Q,14,0)</f>
        <v>International Environmental Collaboration</v>
      </c>
      <c r="F33" s="12">
        <f>VLOOKUP($A33,'DB1'!$C:$Q,15,0)</f>
        <v>0</v>
      </c>
      <c r="G33" s="13">
        <f>VLOOKUP($A33,'DB1'!$C:$Q,9,0)</f>
        <v>45413</v>
      </c>
      <c r="H33" s="13">
        <f>VLOOKUP($A33,'DB1'!$C:$Q,10,0)</f>
        <v>45838</v>
      </c>
    </row>
    <row r="34" spans="1:8" ht="33">
      <c r="A34" s="15" t="s">
        <v>113</v>
      </c>
      <c r="B34" s="12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2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2" t="str">
        <f>VLOOKUP($A34,'DB1'!$C:$Q,14,0)</f>
        <v>Environmental Economics</v>
      </c>
      <c r="F34" s="12" t="str">
        <f>VLOOKUP($A34,'DB1'!$C:$Q,15,0)</f>
        <v>AI and Environmental Informatics</v>
      </c>
      <c r="G34" s="13">
        <f>VLOOKUP($A34,'DB1'!$C:$Q,9,0)</f>
        <v>45415</v>
      </c>
      <c r="H34" s="13">
        <f>VLOOKUP($A34,'DB1'!$C:$Q,10,0)</f>
        <v>45747</v>
      </c>
    </row>
    <row r="35" spans="1:8" ht="33">
      <c r="A35" s="15" t="s">
        <v>119</v>
      </c>
      <c r="B35" s="12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2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2" t="str">
        <f>VLOOKUP($A35,'DB1'!$C:$Q,14,0)</f>
        <v>Carbon Neutrality and Energy</v>
      </c>
      <c r="F35" s="12" t="str">
        <f>VLOOKUP($A35,'DB1'!$C:$Q,15,0)</f>
        <v>AI and Environmental Informatics</v>
      </c>
      <c r="G35" s="13">
        <f>VLOOKUP($A35,'DB1'!$C:$Q,9,0)</f>
        <v>45441</v>
      </c>
      <c r="H35" s="13">
        <f>VLOOKUP($A35,'DB1'!$C:$Q,10,0)</f>
        <v>45738</v>
      </c>
    </row>
    <row r="36" spans="1:8" ht="33">
      <c r="A36" s="15" t="s">
        <v>127</v>
      </c>
      <c r="B36" s="12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2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2" t="str">
        <f>VLOOKUP($A36,'DB1'!$C:$Q,14,0)</f>
        <v>Water Management</v>
      </c>
      <c r="F36" s="12" t="str">
        <f>VLOOKUP($A36,'DB1'!$C:$Q,15,0)</f>
        <v>Circular Economy</v>
      </c>
      <c r="G36" s="13">
        <f>VLOOKUP($A36,'DB1'!$C:$Q,9,0)</f>
        <v>45446</v>
      </c>
      <c r="H36" s="13">
        <f>VLOOKUP($A36,'DB1'!$C:$Q,10,0)</f>
        <v>45716</v>
      </c>
    </row>
    <row r="37" spans="1:8" ht="33">
      <c r="A37" s="15" t="s">
        <v>133</v>
      </c>
      <c r="B37" s="12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2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2" t="str">
        <f>VLOOKUP($A37,'DB1'!$C:$Q,14,0)</f>
        <v>Environmental Assessment</v>
      </c>
      <c r="F37" s="12" t="str">
        <f>VLOOKUP($A37,'DB1'!$C:$Q,15,0)</f>
        <v>Land and Urban Environment</v>
      </c>
      <c r="G37" s="13">
        <f>VLOOKUP($A37,'DB1'!$C:$Q,9,0)</f>
        <v>45447</v>
      </c>
      <c r="H37" s="13">
        <f>VLOOKUP($A37,'DB1'!$C:$Q,10,0)</f>
        <v>45716</v>
      </c>
    </row>
    <row r="38" spans="1:8" ht="33">
      <c r="A38" s="15" t="s">
        <v>140</v>
      </c>
      <c r="B38" s="12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2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2" t="str">
        <f>VLOOKUP($A38,'DB1'!$C:$Q,14,0)</f>
        <v>Water Management</v>
      </c>
      <c r="F38" s="12">
        <f>VLOOKUP($A38,'DB1'!$C:$Q,15,0)</f>
        <v>0</v>
      </c>
      <c r="G38" s="13">
        <f>VLOOKUP($A38,'DB1'!$C:$Q,9,0)</f>
        <v>45456</v>
      </c>
      <c r="H38" s="13">
        <f>VLOOKUP($A38,'DB1'!$C:$Q,10,0)</f>
        <v>45807</v>
      </c>
    </row>
    <row r="39" spans="1:8" ht="33">
      <c r="A39" s="15" t="s">
        <v>143</v>
      </c>
      <c r="B39" s="12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2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2" t="str">
        <f>VLOOKUP($A39,'DB1'!$C:$Q,14,0)</f>
        <v>Environmental Health</v>
      </c>
      <c r="F39" s="12" t="str">
        <f>VLOOKUP($A39,'DB1'!$C:$Q,15,0)</f>
        <v>Climate Adaptation</v>
      </c>
      <c r="G39" s="13">
        <f>VLOOKUP($A39,'DB1'!$C:$Q,9,0)</f>
        <v>45456</v>
      </c>
      <c r="H39" s="13">
        <f>VLOOKUP($A39,'DB1'!$C:$Q,10,0)</f>
        <v>45747</v>
      </c>
    </row>
    <row r="40" spans="1:8" ht="33">
      <c r="A40" s="15" t="s">
        <v>150</v>
      </c>
      <c r="B40" s="12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2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2" t="str">
        <f>VLOOKUP($A40,'DB1'!$C:$Q,14,0)</f>
        <v>Carbon Neutrality and Energy</v>
      </c>
      <c r="F40" s="12" t="str">
        <f>VLOOKUP($A40,'DB1'!$C:$Q,15,0)</f>
        <v>Environmental Economics</v>
      </c>
      <c r="G40" s="13">
        <f>VLOOKUP($A40,'DB1'!$C:$Q,9,0)</f>
        <v>45488</v>
      </c>
      <c r="H40" s="13">
        <f>VLOOKUP($A40,'DB1'!$C:$Q,10,0)</f>
        <v>45730</v>
      </c>
    </row>
    <row r="41" spans="1:8" ht="33">
      <c r="A41" s="15" t="s">
        <v>156</v>
      </c>
      <c r="B41" s="12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2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2" t="str">
        <f>VLOOKUP($A41,'DB1'!$C:$Q,14,0)</f>
        <v>Land and Urban Environment</v>
      </c>
      <c r="F41" s="12" t="str">
        <f>VLOOKUP($A41,'DB1'!$C:$Q,15,0)</f>
        <v>Socio-Environmental Interface</v>
      </c>
      <c r="G41" s="13">
        <f>VLOOKUP($A41,'DB1'!$C:$Q,9,0)</f>
        <v>45488</v>
      </c>
      <c r="H41" s="13">
        <f>VLOOKUP($A41,'DB1'!$C:$Q,10,0)</f>
        <v>45747</v>
      </c>
    </row>
    <row r="42" spans="1:8" ht="33">
      <c r="A42" s="15" t="s">
        <v>163</v>
      </c>
      <c r="B42" s="12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2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2" t="str">
        <f>VLOOKUP($A42,'DB1'!$C:$Q,14,0)</f>
        <v>Land and Urban Environment</v>
      </c>
      <c r="F42" s="12" t="str">
        <f>VLOOKUP($A42,'DB1'!$C:$Q,15,0)</f>
        <v>Ecology</v>
      </c>
      <c r="G42" s="13">
        <f>VLOOKUP($A42,'DB1'!$C:$Q,9,0)</f>
        <v>45495</v>
      </c>
      <c r="H42" s="13">
        <f>VLOOKUP($A42,'DB1'!$C:$Q,10,0)</f>
        <v>45734</v>
      </c>
    </row>
    <row r="43" spans="1:8" ht="33">
      <c r="A43" s="15" t="s">
        <v>170</v>
      </c>
      <c r="B43" s="12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2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2" t="str">
        <f>VLOOKUP($A43,'DB1'!$C:$Q,14,0)</f>
        <v>Water Management</v>
      </c>
      <c r="F43" s="12" t="str">
        <f>VLOOKUP($A43,'DB1'!$C:$Q,15,0)</f>
        <v>AI and Environmental Informatics</v>
      </c>
      <c r="G43" s="13">
        <f>VLOOKUP($A43,'DB1'!$C:$Q,9,0)</f>
        <v>45498</v>
      </c>
      <c r="H43" s="13">
        <f>VLOOKUP($A43,'DB1'!$C:$Q,10,0)</f>
        <v>45672</v>
      </c>
    </row>
    <row r="44" spans="1:8" ht="33">
      <c r="A44" s="15" t="s">
        <v>174</v>
      </c>
      <c r="B44" s="12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2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2" t="str">
        <f>VLOOKUP($A44,'DB1'!$C:$Q,14,0)</f>
        <v>Water Management</v>
      </c>
      <c r="F44" s="12" t="str">
        <f>VLOOKUP($A44,'DB1'!$C:$Q,15,0)</f>
        <v>Marine Environment</v>
      </c>
      <c r="G44" s="13">
        <f>VLOOKUP($A44,'DB1'!$C:$Q,9,0)</f>
        <v>45499</v>
      </c>
      <c r="H44" s="13">
        <f>VLOOKUP($A44,'DB1'!$C:$Q,10,0)</f>
        <v>45678</v>
      </c>
    </row>
    <row r="45" spans="1:8" ht="49.5">
      <c r="A45" s="15" t="s">
        <v>166</v>
      </c>
      <c r="B45" s="12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2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2" t="str">
        <f>VLOOKUP($A45,'DB1'!$C:$Q,14,0)</f>
        <v>Ecology</v>
      </c>
      <c r="F45" s="12" t="str">
        <f>VLOOKUP($A45,'DB1'!$C:$Q,15,0)</f>
        <v>International Environmental Collaboration</v>
      </c>
      <c r="G45" s="13">
        <f>VLOOKUP($A45,'DB1'!$C:$Q,9,0)</f>
        <v>45502</v>
      </c>
      <c r="H45" s="13">
        <f>VLOOKUP($A45,'DB1'!$C:$Q,10,0)</f>
        <v>45744</v>
      </c>
    </row>
    <row r="46" spans="1:8" ht="33">
      <c r="A46" s="15" t="s">
        <v>179</v>
      </c>
      <c r="B46" s="12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2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2" t="str">
        <f>VLOOKUP($A46,'DB1'!$C:$Q,14,0)</f>
        <v>Environmental Economics</v>
      </c>
      <c r="F46" s="12" t="str">
        <f>VLOOKUP($A46,'DB1'!$C:$Q,15,0)</f>
        <v>Socio-Environmental Interface</v>
      </c>
      <c r="G46" s="13">
        <f>VLOOKUP($A46,'DB1'!$C:$Q,9,0)</f>
        <v>45509</v>
      </c>
      <c r="H46" s="13">
        <f>VLOOKUP($A46,'DB1'!$C:$Q,10,0)</f>
        <v>45873</v>
      </c>
    </row>
    <row r="47" spans="1:8" ht="33">
      <c r="A47" s="15" t="s">
        <v>229</v>
      </c>
      <c r="B47" s="12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2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2" t="str">
        <f>VLOOKUP($A47,'DB1'!$C:$Q,14,0)</f>
        <v>Environmental Health</v>
      </c>
      <c r="F47" s="12" t="str">
        <f>VLOOKUP($A47,'DB1'!$C:$Q,15,0)</f>
        <v>Marine Environment</v>
      </c>
      <c r="G47" s="13">
        <f>VLOOKUP($A47,'DB1'!$C:$Q,9,0)</f>
        <v>45514</v>
      </c>
      <c r="H47" s="13">
        <f>VLOOKUP($A47,'DB1'!$C:$Q,10,0)</f>
        <v>45878</v>
      </c>
    </row>
    <row r="48" spans="1:8" ht="49.5">
      <c r="A48" s="15" t="s">
        <v>183</v>
      </c>
      <c r="B48" s="12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2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2" t="str">
        <f>VLOOKUP($A48,'DB1'!$C:$Q,14,0)</f>
        <v>Ecology</v>
      </c>
      <c r="F48" s="12" t="str">
        <f>VLOOKUP($A48,'DB1'!$C:$Q,15,0)</f>
        <v>International Environmental Collaboration</v>
      </c>
      <c r="G48" s="13">
        <f>VLOOKUP($A48,'DB1'!$C:$Q,9,0)</f>
        <v>45516</v>
      </c>
      <c r="H48" s="13">
        <f>VLOOKUP($A48,'DB1'!$C:$Q,10,0)</f>
        <v>45754</v>
      </c>
    </row>
    <row r="49" spans="1:8" ht="33">
      <c r="A49" s="15" t="s">
        <v>186</v>
      </c>
      <c r="B49" s="12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2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2" t="str">
        <f>VLOOKUP($A49,'DB1'!$C:$Q,14,0)</f>
        <v>Atmospheric Environment</v>
      </c>
      <c r="F49" s="12">
        <f>VLOOKUP($A49,'DB1'!$C:$Q,15,0)</f>
        <v>0</v>
      </c>
      <c r="G49" s="13">
        <f>VLOOKUP($A49,'DB1'!$C:$Q,9,0)</f>
        <v>45527</v>
      </c>
      <c r="H49" s="13">
        <f>VLOOKUP($A49,'DB1'!$C:$Q,10,0)</f>
        <v>45679</v>
      </c>
    </row>
    <row r="50" spans="1:8" ht="33">
      <c r="A50" s="15" t="s">
        <v>194</v>
      </c>
      <c r="B50" s="12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2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2" t="str">
        <f>VLOOKUP($A50,'DB1'!$C:$Q,14,0)</f>
        <v>Water Management</v>
      </c>
      <c r="F50" s="12">
        <f>VLOOKUP($A50,'DB1'!$C:$Q,15,0)</f>
        <v>0</v>
      </c>
      <c r="G50" s="13">
        <f>VLOOKUP($A50,'DB1'!$C:$Q,9,0)</f>
        <v>45538</v>
      </c>
      <c r="H50" s="13">
        <f>VLOOKUP($A50,'DB1'!$C:$Q,10,0)</f>
        <v>45988</v>
      </c>
    </row>
    <row r="51" spans="1:8" ht="33">
      <c r="A51" s="15" t="s">
        <v>201</v>
      </c>
      <c r="B51" s="12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2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2" t="str">
        <f>VLOOKUP($A51,'DB1'!$C:$Q,14,0)</f>
        <v>Land and Urban Environment</v>
      </c>
      <c r="F51" s="12">
        <f>VLOOKUP($A51,'DB1'!$C:$Q,15,0)</f>
        <v>0</v>
      </c>
      <c r="G51" s="13">
        <f>VLOOKUP($A51,'DB1'!$C:$Q,9,0)</f>
        <v>45555</v>
      </c>
      <c r="H51" s="13">
        <f>VLOOKUP($A51,'DB1'!$C:$Q,10,0)</f>
        <v>45734</v>
      </c>
    </row>
    <row r="52" spans="1:8" ht="33">
      <c r="A52" s="15" t="s">
        <v>204</v>
      </c>
      <c r="B52" s="12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2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2" t="str">
        <f>VLOOKUP($A52,'DB1'!$C:$Q,14,0)</f>
        <v>Carbon Neutrality and Energy</v>
      </c>
      <c r="F52" s="12" t="str">
        <f>VLOOKUP($A52,'DB1'!$C:$Q,15,0)</f>
        <v>Environmental Economics</v>
      </c>
      <c r="G52" s="13">
        <f>VLOOKUP($A52,'DB1'!$C:$Q,9,0)</f>
        <v>45558</v>
      </c>
      <c r="H52" s="13">
        <f>VLOOKUP($A52,'DB1'!$C:$Q,10,0)</f>
        <v>45891</v>
      </c>
    </row>
    <row r="53" spans="1:8" ht="33">
      <c r="A53" s="15" t="s">
        <v>212</v>
      </c>
      <c r="B53" s="12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2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2" t="str">
        <f>VLOOKUP($A53,'DB1'!$C:$Q,14,0)</f>
        <v>Water Management</v>
      </c>
      <c r="F53" s="12">
        <f>VLOOKUP($A53,'DB1'!$C:$Q,15,0)</f>
        <v>0</v>
      </c>
      <c r="G53" s="13">
        <f>VLOOKUP($A53,'DB1'!$C:$Q,9,0)</f>
        <v>45583</v>
      </c>
      <c r="H53" s="13">
        <f>VLOOKUP($A53,'DB1'!$C:$Q,10,0)</f>
        <v>45947</v>
      </c>
    </row>
    <row r="54" spans="1:8" ht="33">
      <c r="A54" s="15" t="s">
        <v>217</v>
      </c>
      <c r="B54" s="12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2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2" t="str">
        <f>VLOOKUP($A54,'DB1'!$C:$Q,14,0)</f>
        <v>Water Management</v>
      </c>
      <c r="F54" s="12" t="str">
        <f>VLOOKUP($A54,'DB1'!$C:$Q,15,0)</f>
        <v>Ecology</v>
      </c>
      <c r="G54" s="13">
        <f>VLOOKUP($A54,'DB1'!$C:$Q,9,0)</f>
        <v>45587</v>
      </c>
      <c r="H54" s="13">
        <f>VLOOKUP($A54,'DB1'!$C:$Q,10,0)</f>
        <v>46008</v>
      </c>
    </row>
    <row r="55" spans="1:8" ht="33">
      <c r="A55" s="15" t="s">
        <v>223</v>
      </c>
      <c r="B55" s="12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2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2" t="str">
        <f>VLOOKUP($A55,'DB1'!$C:$Q,14,0)</f>
        <v>Environmental Health</v>
      </c>
      <c r="F55" s="12">
        <f>VLOOKUP($A55,'DB1'!$C:$Q,15,0)</f>
        <v>0</v>
      </c>
      <c r="G55" s="13">
        <f>VLOOKUP($A55,'DB1'!$C:$Q,9,0)</f>
        <v>45590</v>
      </c>
      <c r="H55" s="13">
        <f>VLOOKUP($A55,'DB1'!$C:$Q,10,0)</f>
        <v>45739</v>
      </c>
    </row>
    <row r="56" spans="1:8" ht="33">
      <c r="A56" s="15" t="s">
        <v>954</v>
      </c>
      <c r="B56" s="12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2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2" t="str">
        <f>VLOOKUP($A56,'DB1'!$C:$Q,14,0)</f>
        <v>Circular Economy</v>
      </c>
      <c r="F56" s="12" t="str">
        <f>VLOOKUP($A56,'DB1'!$C:$Q,15,0)</f>
        <v>Socio-Environmental Interface</v>
      </c>
      <c r="G56" s="13">
        <f>VLOOKUP($A56,'DB1'!$C:$Q,9,0)</f>
        <v>45597</v>
      </c>
      <c r="H56" s="13">
        <f>VLOOKUP($A56,'DB1'!$C:$Q,10,0)</f>
        <v>45777</v>
      </c>
    </row>
    <row r="57" spans="1:8" ht="33">
      <c r="A57" s="15" t="s">
        <v>956</v>
      </c>
      <c r="B57" s="12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2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2" t="str">
        <f>VLOOKUP($A57,'DB1'!$C:$Q,14,0)</f>
        <v>Water Management</v>
      </c>
      <c r="F57" s="12">
        <f>VLOOKUP($A57,'DB1'!$C:$Q,15,0)</f>
        <v>0</v>
      </c>
      <c r="G57" s="13">
        <f>VLOOKUP($A57,'DB1'!$C:$Q,9,0)</f>
        <v>45597</v>
      </c>
      <c r="H57" s="13">
        <f>VLOOKUP($A57,'DB1'!$C:$Q,10,0)</f>
        <v>45777</v>
      </c>
    </row>
    <row r="58" spans="1:8" ht="33">
      <c r="A58" s="15" t="s">
        <v>239</v>
      </c>
      <c r="B58" s="12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2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2" t="str">
        <f>VLOOKUP($A58,'DB1'!$C:$Q,14,0)</f>
        <v>Environmental Health</v>
      </c>
      <c r="F58" s="12" t="str">
        <f>VLOOKUP($A58,'DB1'!$C:$Q,15,0)</f>
        <v>Atmospheric Environment</v>
      </c>
      <c r="G58" s="13">
        <f>VLOOKUP($A58,'DB1'!$C:$Q,9,0)</f>
        <v>45600</v>
      </c>
      <c r="H58" s="13">
        <f>VLOOKUP($A58,'DB1'!$C:$Q,10,0)</f>
        <v>45965</v>
      </c>
    </row>
    <row r="59" spans="1:8" ht="33">
      <c r="A59" s="15" t="s">
        <v>234</v>
      </c>
      <c r="B59" s="12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2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2" t="str">
        <f>VLOOKUP($A59,'DB1'!$C:$Q,14,0)</f>
        <v>Land and Urban Environment</v>
      </c>
      <c r="F59" s="12" t="str">
        <f>VLOOKUP($A59,'DB1'!$C:$Q,15,0)</f>
        <v>Ecology</v>
      </c>
      <c r="G59" s="13">
        <f>VLOOKUP($A59,'DB1'!$C:$Q,9,0)</f>
        <v>45601</v>
      </c>
      <c r="H59" s="13">
        <f>VLOOKUP($A59,'DB1'!$C:$Q,10,0)</f>
        <v>45898</v>
      </c>
    </row>
    <row r="60" spans="1:8" ht="33">
      <c r="A60" s="15" t="s">
        <v>245</v>
      </c>
      <c r="B60" s="12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2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2" t="str">
        <f>VLOOKUP($A60,'DB1'!$C:$Q,14,0)</f>
        <v>Environmental Assessment</v>
      </c>
      <c r="F60" s="12">
        <f>VLOOKUP($A60,'DB1'!$C:$Q,15,0)</f>
        <v>0</v>
      </c>
      <c r="G60" s="13">
        <f>VLOOKUP($A60,'DB1'!$C:$Q,9,0)</f>
        <v>45609</v>
      </c>
      <c r="H60" s="13">
        <f>VLOOKUP($A60,'DB1'!$C:$Q,10,0)</f>
        <v>45698</v>
      </c>
    </row>
    <row r="61" spans="1:8" ht="33">
      <c r="A61" s="15" t="s">
        <v>250</v>
      </c>
      <c r="B61" s="12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2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2" t="str">
        <f>VLOOKUP($A61,'DB1'!$C:$Q,14,0)</f>
        <v>Environmental Health</v>
      </c>
      <c r="F61" s="12">
        <f>VLOOKUP($A61,'DB1'!$C:$Q,15,0)</f>
        <v>0</v>
      </c>
      <c r="G61" s="13">
        <f>VLOOKUP($A61,'DB1'!$C:$Q,9,0)</f>
        <v>45618</v>
      </c>
      <c r="H61" s="13">
        <f>VLOOKUP($A61,'DB1'!$C:$Q,10,0)</f>
        <v>45961</v>
      </c>
    </row>
    <row r="62" spans="1:8" ht="49.5">
      <c r="A62" s="15" t="s">
        <v>258</v>
      </c>
      <c r="B62" s="12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2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2" t="str">
        <f>VLOOKUP($A62,'DB1'!$C:$Q,14,0)</f>
        <v>Circular Economy</v>
      </c>
      <c r="F62" s="12" t="str">
        <f>VLOOKUP($A62,'DB1'!$C:$Q,15,0)</f>
        <v>International Environmental Collaboration</v>
      </c>
      <c r="G62" s="13">
        <f>VLOOKUP($A62,'DB1'!$C:$Q,9,0)</f>
        <v>45625</v>
      </c>
      <c r="H62" s="13">
        <f>VLOOKUP($A62,'DB1'!$C:$Q,10,0)</f>
        <v>45930</v>
      </c>
    </row>
    <row r="63" spans="1:8" ht="33">
      <c r="A63" s="15" t="s">
        <v>264</v>
      </c>
      <c r="B63" s="12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2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2" t="str">
        <f>VLOOKUP($A63,'DB1'!$C:$Q,14,0)</f>
        <v>Carbon Neutrality and Energy</v>
      </c>
      <c r="F63" s="12">
        <f>VLOOKUP($A63,'DB1'!$C:$Q,15,0)</f>
        <v>0</v>
      </c>
      <c r="G63" s="13">
        <f>VLOOKUP($A63,'DB1'!$C:$Q,9,0)</f>
        <v>45625</v>
      </c>
      <c r="H63" s="13">
        <f>VLOOKUP($A63,'DB1'!$C:$Q,10,0)</f>
        <v>45684</v>
      </c>
    </row>
    <row r="64" spans="1:8" ht="33">
      <c r="A64" s="15" t="s">
        <v>268</v>
      </c>
      <c r="B64" s="12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2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2" t="str">
        <f>VLOOKUP($A64,'DB1'!$C:$Q,14,0)</f>
        <v>Socio-Environmental Interface</v>
      </c>
      <c r="F64" s="12" t="str">
        <f>VLOOKUP($A64,'DB1'!$C:$Q,15,0)</f>
        <v>Land and Urban Environment</v>
      </c>
      <c r="G64" s="13">
        <f>VLOOKUP($A64,'DB1'!$C:$Q,9,0)</f>
        <v>45630</v>
      </c>
      <c r="H64" s="13">
        <f>VLOOKUP($A64,'DB1'!$C:$Q,10,0)</f>
        <v>45869</v>
      </c>
    </row>
    <row r="65" spans="1:8" ht="33">
      <c r="A65" s="15" t="s">
        <v>271</v>
      </c>
      <c r="B65" s="12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2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2" t="str">
        <f>VLOOKUP($A65,'DB1'!$C:$Q,14,0)</f>
        <v>Water Management</v>
      </c>
      <c r="F65" s="12" t="str">
        <f>VLOOKUP($A65,'DB1'!$C:$Q,15,0)</f>
        <v>AI and Environmental Informatics</v>
      </c>
      <c r="G65" s="13">
        <f>VLOOKUP($A65,'DB1'!$C:$Q,9,0)</f>
        <v>45632</v>
      </c>
      <c r="H65" s="13">
        <f>VLOOKUP($A65,'DB1'!$C:$Q,10,0)</f>
        <v>45751</v>
      </c>
    </row>
    <row r="66" spans="1:8" ht="33">
      <c r="A66" s="15" t="s">
        <v>276</v>
      </c>
      <c r="B66" s="12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2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2" t="str">
        <f>VLOOKUP($A66,'DB1'!$C:$Q,14,0)</f>
        <v>Water Management</v>
      </c>
      <c r="F66" s="12">
        <f>VLOOKUP($A66,'DB1'!$C:$Q,15,0)</f>
        <v>0</v>
      </c>
      <c r="G66" s="13">
        <f>VLOOKUP($A66,'DB1'!$C:$Q,9,0)</f>
        <v>45635</v>
      </c>
      <c r="H66" s="13">
        <f>VLOOKUP($A66,'DB1'!$C:$Q,10,0)</f>
        <v>45904</v>
      </c>
    </row>
    <row r="67" spans="1:8" ht="33">
      <c r="A67" s="15" t="s">
        <v>280</v>
      </c>
      <c r="B67" s="12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2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2" t="str">
        <f>VLOOKUP($A67,'DB1'!$C:$Q,14,0)</f>
        <v>Water Management</v>
      </c>
      <c r="F67" s="12" t="str">
        <f>VLOOKUP($A67,'DB1'!$C:$Q,15,0)</f>
        <v>Socio-Environmental Interface</v>
      </c>
      <c r="G67" s="13">
        <f>VLOOKUP($A67,'DB1'!$C:$Q,9,0)</f>
        <v>45636</v>
      </c>
      <c r="H67" s="13">
        <f>VLOOKUP($A67,'DB1'!$C:$Q,10,0)</f>
        <v>45995</v>
      </c>
    </row>
    <row r="68" spans="1:8" ht="33">
      <c r="A68" s="15" t="s">
        <v>282</v>
      </c>
      <c r="B68" s="12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2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2" t="str">
        <f>VLOOKUP($A68,'DB1'!$C:$Q,14,0)</f>
        <v>Sustainable Development</v>
      </c>
      <c r="F68" s="12">
        <f>VLOOKUP($A68,'DB1'!$C:$Q,15,0)</f>
        <v>0</v>
      </c>
      <c r="G68" s="13">
        <f>VLOOKUP($A68,'DB1'!$C:$Q,9,0)</f>
        <v>45644</v>
      </c>
      <c r="H68" s="13">
        <f>VLOOKUP($A68,'DB1'!$C:$Q,10,0)</f>
        <v>45961</v>
      </c>
    </row>
    <row r="69" spans="1:8" ht="33">
      <c r="A69" s="15" t="s">
        <v>293</v>
      </c>
      <c r="B69" s="12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2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2" t="str">
        <f>VLOOKUP($A69,'DB1'!$C:$Q,14,0)</f>
        <v>Climate Adaptation</v>
      </c>
      <c r="F69" s="12">
        <f>VLOOKUP($A69,'DB1'!$C:$Q,15,0)</f>
        <v>0</v>
      </c>
      <c r="G69" s="13">
        <f>VLOOKUP($A69,'DB1'!$C:$Q,9,0)</f>
        <v>45658</v>
      </c>
      <c r="H69" s="13">
        <f>VLOOKUP($A69,'DB1'!$C:$Q,10,0)</f>
        <v>46022</v>
      </c>
    </row>
    <row r="70" spans="1:8" ht="33">
      <c r="A70" s="15" t="s">
        <v>300</v>
      </c>
      <c r="B70" s="12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2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2" t="str">
        <f>VLOOKUP($A70,'DB1'!$C:$Q,14,0)</f>
        <v>Climate Adaptation</v>
      </c>
      <c r="F70" s="12" t="str">
        <f>VLOOKUP($A70,'DB1'!$C:$Q,15,0)</f>
        <v>Socio-Environmental Interface</v>
      </c>
      <c r="G70" s="13">
        <f>VLOOKUP($A70,'DB1'!$C:$Q,9,0)</f>
        <v>45658</v>
      </c>
      <c r="H70" s="13">
        <f>VLOOKUP($A70,'DB1'!$C:$Q,10,0)</f>
        <v>46022</v>
      </c>
    </row>
    <row r="71" spans="1:8" ht="33">
      <c r="A71" s="15" t="s">
        <v>305</v>
      </c>
      <c r="B71" s="12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2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2" t="str">
        <f>VLOOKUP($A71,'DB1'!$C:$Q,14,0)</f>
        <v>Climate Adaptation</v>
      </c>
      <c r="F71" s="12" t="str">
        <f>VLOOKUP($A71,'DB1'!$C:$Q,15,0)</f>
        <v>Socio-Environmental Interface</v>
      </c>
      <c r="G71" s="13">
        <f>VLOOKUP($A71,'DB1'!$C:$Q,9,0)</f>
        <v>45658</v>
      </c>
      <c r="H71" s="13">
        <f>VLOOKUP($A71,'DB1'!$C:$Q,10,0)</f>
        <v>46022</v>
      </c>
    </row>
    <row r="72" spans="1:8" ht="49.5">
      <c r="A72" s="15" t="s">
        <v>308</v>
      </c>
      <c r="B72" s="12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2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2" t="str">
        <f>VLOOKUP($A72,'DB1'!$C:$Q,14,0)</f>
        <v>Climate Adaptation</v>
      </c>
      <c r="F72" s="12" t="str">
        <f>VLOOKUP($A72,'DB1'!$C:$Q,15,0)</f>
        <v>International Environmental Collaboration</v>
      </c>
      <c r="G72" s="13">
        <f>VLOOKUP($A72,'DB1'!$C:$Q,9,0)</f>
        <v>45658</v>
      </c>
      <c r="H72" s="13">
        <f>VLOOKUP($A72,'DB1'!$C:$Q,10,0)</f>
        <v>46022</v>
      </c>
    </row>
    <row r="73" spans="1:8" ht="33">
      <c r="A73" s="15" t="s">
        <v>311</v>
      </c>
      <c r="B73" s="12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2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2" t="str">
        <f>VLOOKUP($A73,'DB1'!$C:$Q,14,0)</f>
        <v>Climate Adaptation</v>
      </c>
      <c r="F73" s="12">
        <f>VLOOKUP($A73,'DB1'!$C:$Q,15,0)</f>
        <v>0</v>
      </c>
      <c r="G73" s="13">
        <f>VLOOKUP($A73,'DB1'!$C:$Q,9,0)</f>
        <v>45658</v>
      </c>
      <c r="H73" s="13">
        <f>VLOOKUP($A73,'DB1'!$C:$Q,10,0)</f>
        <v>46022</v>
      </c>
    </row>
    <row r="74" spans="1:8" ht="33">
      <c r="A74" s="15" t="s">
        <v>313</v>
      </c>
      <c r="B74" s="12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2" t="str">
        <f>VLOOKUP($A74,'DB1'!$C:$Q,12,0)</f>
        <v>DM Project (Year 3)</v>
      </c>
      <c r="D74" s="11" t="str">
        <f>VLOOKUP($A74,'DB1'!$C:$Q,13,0)</f>
        <v xml:space="preserve">Lee, Seungsoo </v>
      </c>
      <c r="E74" s="12" t="str">
        <f>VLOOKUP($A74,'DB1'!$C:$Q,14,0)</f>
        <v>Water Management</v>
      </c>
      <c r="F74" s="12">
        <f>VLOOKUP($A74,'DB1'!$C:$Q,15,0)</f>
        <v>0</v>
      </c>
      <c r="G74" s="13">
        <f>VLOOKUP($A74,'DB1'!$C:$Q,9,0)</f>
        <v>45658</v>
      </c>
      <c r="H74" s="13">
        <f>VLOOKUP($A74,'DB1'!$C:$Q,10,0)</f>
        <v>46022</v>
      </c>
    </row>
    <row r="75" spans="1:8" ht="33">
      <c r="A75" s="15" t="s">
        <v>319</v>
      </c>
      <c r="B75" s="12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2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2" t="str">
        <f>VLOOKUP($A75,'DB1'!$C:$Q,14,0)</f>
        <v>Land and Urban Environment</v>
      </c>
      <c r="F75" s="12" t="str">
        <f>VLOOKUP($A75,'DB1'!$C:$Q,15,0)</f>
        <v>Environmental Assessment</v>
      </c>
      <c r="G75" s="13">
        <f>VLOOKUP($A75,'DB1'!$C:$Q,9,0)</f>
        <v>45658</v>
      </c>
      <c r="H75" s="13">
        <f>VLOOKUP($A75,'DB1'!$C:$Q,10,0)</f>
        <v>46022</v>
      </c>
    </row>
    <row r="76" spans="1:8" ht="49.5">
      <c r="A76" s="15" t="s">
        <v>323</v>
      </c>
      <c r="B76" s="12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2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2" t="str">
        <f>VLOOKUP($A76,'DB1'!$C:$Q,14,0)</f>
        <v>Climate Adaptation</v>
      </c>
      <c r="F76" s="12" t="str">
        <f>VLOOKUP($A76,'DB1'!$C:$Q,15,0)</f>
        <v>International Environmental Collaboration</v>
      </c>
      <c r="G76" s="13">
        <f>VLOOKUP($A76,'DB1'!$C:$Q,9,0)</f>
        <v>45658</v>
      </c>
      <c r="H76" s="13">
        <f>VLOOKUP($A76,'DB1'!$C:$Q,10,0)</f>
        <v>46022</v>
      </c>
    </row>
    <row r="77" spans="1:8" ht="33">
      <c r="A77" s="15" t="s">
        <v>330</v>
      </c>
      <c r="B77" s="12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2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2" t="str">
        <f>VLOOKUP($A77,'DB1'!$C:$Q,14,0)</f>
        <v>Environmental Economics</v>
      </c>
      <c r="F77" s="12" t="str">
        <f>VLOOKUP($A77,'DB1'!$C:$Q,15,0)</f>
        <v>Ecology</v>
      </c>
      <c r="G77" s="13">
        <f>VLOOKUP($A77,'DB1'!$C:$Q,9,0)</f>
        <v>45658</v>
      </c>
      <c r="H77" s="13">
        <f>VLOOKUP($A77,'DB1'!$C:$Q,10,0)</f>
        <v>46022</v>
      </c>
    </row>
    <row r="78" spans="1:8" ht="33">
      <c r="A78" s="15" t="s">
        <v>336</v>
      </c>
      <c r="B78" s="12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2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2" t="str">
        <f>VLOOKUP($A78,'DB1'!$C:$Q,14,0)</f>
        <v>Socio-Environmental Interface</v>
      </c>
      <c r="F78" s="12" t="str">
        <f>VLOOKUP($A78,'DB1'!$C:$Q,15,0)</f>
        <v>Carbon Neutrality and Energy</v>
      </c>
      <c r="G78" s="13">
        <f>VLOOKUP($A78,'DB1'!$C:$Q,9,0)</f>
        <v>45658</v>
      </c>
      <c r="H78" s="13">
        <f>VLOOKUP($A78,'DB1'!$C:$Q,10,0)</f>
        <v>46387</v>
      </c>
    </row>
    <row r="79" spans="1:8" ht="33">
      <c r="A79" s="15" t="s">
        <v>340</v>
      </c>
      <c r="B79" s="12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2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2" t="str">
        <f>VLOOKUP($A79,'DB1'!$C:$Q,14,0)</f>
        <v>AI and Environmental Informatics</v>
      </c>
      <c r="F79" s="12" t="str">
        <f>VLOOKUP($A79,'DB1'!$C:$Q,15,0)</f>
        <v>Carbon Neutrality and Energy</v>
      </c>
      <c r="G79" s="13">
        <f>VLOOKUP($A79,'DB1'!$C:$Q,9,0)</f>
        <v>45658</v>
      </c>
      <c r="H79" s="13">
        <f>VLOOKUP($A79,'DB1'!$C:$Q,10,0)</f>
        <v>46022</v>
      </c>
    </row>
    <row r="80" spans="1:8" ht="33">
      <c r="A80" s="15" t="s">
        <v>346</v>
      </c>
      <c r="B80" s="12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2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2" t="str">
        <f>VLOOKUP($A80,'DB1'!$C:$Q,14,0)</f>
        <v>Marine Environment</v>
      </c>
      <c r="F80" s="12" t="str">
        <f>VLOOKUP($A80,'DB1'!$C:$Q,15,0)</f>
        <v>AI and Environmental Informatics</v>
      </c>
      <c r="G80" s="13">
        <f>VLOOKUP($A80,'DB1'!$C:$Q,9,0)</f>
        <v>45658</v>
      </c>
      <c r="H80" s="13">
        <f>VLOOKUP($A80,'DB1'!$C:$Q,10,0)</f>
        <v>46022</v>
      </c>
    </row>
    <row r="81" spans="1:8" ht="33">
      <c r="A81" s="15" t="s">
        <v>352</v>
      </c>
      <c r="B81" s="12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2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2" t="str">
        <f>VLOOKUP($A81,'DB1'!$C:$Q,14,0)</f>
        <v>Climate Adaptation</v>
      </c>
      <c r="F81" s="12" t="str">
        <f>VLOOKUP($A81,'DB1'!$C:$Q,15,0)</f>
        <v>AI and Environmental Informatics</v>
      </c>
      <c r="G81" s="13">
        <f>VLOOKUP($A81,'DB1'!$C:$Q,9,0)</f>
        <v>45658</v>
      </c>
      <c r="H81" s="13">
        <f>VLOOKUP($A81,'DB1'!$C:$Q,10,0)</f>
        <v>46022</v>
      </c>
    </row>
    <row r="82" spans="1:8" ht="33">
      <c r="A82" s="15" t="s">
        <v>356</v>
      </c>
      <c r="B82" s="12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2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2" t="str">
        <f>VLOOKUP($A82,'DB1'!$C:$Q,14,0)</f>
        <v>Climate Adaptation</v>
      </c>
      <c r="F82" s="12" t="str">
        <f>VLOOKUP($A82,'DB1'!$C:$Q,15,0)</f>
        <v>AI and Environmental Informatics</v>
      </c>
      <c r="G82" s="13">
        <f>VLOOKUP($A82,'DB1'!$C:$Q,9,0)</f>
        <v>45658</v>
      </c>
      <c r="H82" s="13">
        <f>VLOOKUP($A82,'DB1'!$C:$Q,10,0)</f>
        <v>46022</v>
      </c>
    </row>
    <row r="83" spans="1:8" ht="33">
      <c r="A83" s="15" t="s">
        <v>359</v>
      </c>
      <c r="B83" s="12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2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2" t="str">
        <f>VLOOKUP($A83,'DB1'!$C:$Q,14,0)</f>
        <v>Water Management</v>
      </c>
      <c r="F83" s="12" t="str">
        <f>VLOOKUP($A83,'DB1'!$C:$Q,15,0)</f>
        <v>Climate Adaptation</v>
      </c>
      <c r="G83" s="13">
        <f>VLOOKUP($A83,'DB1'!$C:$Q,9,0)</f>
        <v>45658</v>
      </c>
      <c r="H83" s="13">
        <f>VLOOKUP($A83,'DB1'!$C:$Q,10,0)</f>
        <v>46022</v>
      </c>
    </row>
    <row r="84" spans="1:8" ht="49.5">
      <c r="A84" s="15" t="s">
        <v>364</v>
      </c>
      <c r="B84" s="12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2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2" t="str">
        <f>VLOOKUP($A84,'DB1'!$C:$Q,14,0)</f>
        <v>Carbon Neutrality and Energy</v>
      </c>
      <c r="F84" s="12" t="str">
        <f>VLOOKUP($A84,'DB1'!$C:$Q,15,0)</f>
        <v>International Environmental Collaboration</v>
      </c>
      <c r="G84" s="13">
        <f>VLOOKUP($A84,'DB1'!$C:$Q,9,0)</f>
        <v>45658</v>
      </c>
      <c r="H84" s="13">
        <f>VLOOKUP($A84,'DB1'!$C:$Q,10,0)</f>
        <v>46022</v>
      </c>
    </row>
    <row r="85" spans="1:8" ht="33">
      <c r="A85" s="15" t="s">
        <v>366</v>
      </c>
      <c r="B85" s="12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2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2" t="str">
        <f>VLOOKUP($A85,'DB1'!$C:$Q,14,0)</f>
        <v>Climate Adaptation</v>
      </c>
      <c r="F85" s="12" t="str">
        <f>VLOOKUP($A85,'DB1'!$C:$Q,15,0)</f>
        <v>AI and Environmental Informatics</v>
      </c>
      <c r="G85" s="13">
        <f>VLOOKUP($A85,'DB1'!$C:$Q,9,0)</f>
        <v>45658</v>
      </c>
      <c r="H85" s="13">
        <f>VLOOKUP($A85,'DB1'!$C:$Q,10,0)</f>
        <v>46022</v>
      </c>
    </row>
    <row r="86" spans="1:8" ht="33">
      <c r="A86" s="15" t="s">
        <v>368</v>
      </c>
      <c r="B86" s="12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2"/>
      <c r="D86" s="11" t="str">
        <f>VLOOKUP($A86,'DB1'!$C:$Q,13,0)</f>
        <v xml:space="preserve">Jung, Dawoon </v>
      </c>
      <c r="E86" s="12"/>
      <c r="F86" s="12"/>
      <c r="G86" s="13">
        <f>VLOOKUP($A86,'DB1'!$C:$Q,9,0)</f>
        <v>45658</v>
      </c>
      <c r="H86" s="13">
        <f>VLOOKUP($A86,'DB1'!$C:$Q,10,0)</f>
        <v>46022</v>
      </c>
    </row>
    <row r="87" spans="1:8" ht="33">
      <c r="A87" s="15" t="s">
        <v>369</v>
      </c>
      <c r="B87" s="12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2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2" t="str">
        <f>VLOOKUP($A87,'DB1'!$C:$Q,14,0)</f>
        <v>Water Management</v>
      </c>
      <c r="F87" s="12" t="str">
        <f>VLOOKUP($A87,'DB1'!$C:$Q,15,0)</f>
        <v>Environmental Economics</v>
      </c>
      <c r="G87" s="13">
        <f>VLOOKUP($A87,'DB1'!$C:$Q,9,0)</f>
        <v>45658</v>
      </c>
      <c r="H87" s="13">
        <f>VLOOKUP($A87,'DB1'!$C:$Q,10,0)</f>
        <v>46022</v>
      </c>
    </row>
    <row r="88" spans="1:8" ht="33">
      <c r="A88" s="15" t="s">
        <v>371</v>
      </c>
      <c r="B88" s="12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2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2" t="str">
        <f>VLOOKUP($A88,'DB1'!$C:$Q,14,0)</f>
        <v>Land and Urban Environment</v>
      </c>
      <c r="F88" s="12" t="str">
        <f>VLOOKUP($A88,'DB1'!$C:$Q,15,0)</f>
        <v>Carbon Neutrality and Energy</v>
      </c>
      <c r="G88" s="13">
        <f>VLOOKUP($A88,'DB1'!$C:$Q,9,0)</f>
        <v>45658</v>
      </c>
      <c r="H88" s="13">
        <f>VLOOKUP($A88,'DB1'!$C:$Q,10,0)</f>
        <v>46022</v>
      </c>
    </row>
    <row r="89" spans="1:8" ht="33">
      <c r="A89" s="15" t="s">
        <v>376</v>
      </c>
      <c r="B89" s="12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2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2" t="str">
        <f>VLOOKUP($A89,'DB1'!$C:$Q,14,0)</f>
        <v>Ecology</v>
      </c>
      <c r="F89" s="12" t="str">
        <f>VLOOKUP($A89,'DB1'!$C:$Q,15,0)</f>
        <v>Climate Adaptation</v>
      </c>
      <c r="G89" s="13">
        <f>VLOOKUP($A89,'DB1'!$C:$Q,9,0)</f>
        <v>45658</v>
      </c>
      <c r="H89" s="13">
        <f>VLOOKUP($A89,'DB1'!$C:$Q,10,0)</f>
        <v>46022</v>
      </c>
    </row>
    <row r="90" spans="1:8" ht="33">
      <c r="A90" s="15" t="s">
        <v>385</v>
      </c>
      <c r="B90" s="12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2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2" t="str">
        <f>VLOOKUP($A90,'DB1'!$C:$Q,14,0)</f>
        <v>Water Management</v>
      </c>
      <c r="F90" s="12" t="str">
        <f>VLOOKUP($A90,'DB1'!$C:$Q,15,0)</f>
        <v>AI and Environmental Informatics</v>
      </c>
      <c r="G90" s="13">
        <f>VLOOKUP($A90,'DB1'!$C:$Q,9,0)</f>
        <v>45658</v>
      </c>
      <c r="H90" s="13">
        <f>VLOOKUP($A90,'DB1'!$C:$Q,10,0)</f>
        <v>46022</v>
      </c>
    </row>
    <row r="91" spans="1:8" ht="33">
      <c r="A91" s="15" t="s">
        <v>389</v>
      </c>
      <c r="B91" s="12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2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2" t="str">
        <f>VLOOKUP($A91,'DB1'!$C:$Q,14,0)</f>
        <v>Carbon Neutrality and Energy</v>
      </c>
      <c r="F91" s="12" t="str">
        <f>VLOOKUP($A91,'DB1'!$C:$Q,15,0)</f>
        <v>Ecology</v>
      </c>
      <c r="G91" s="13">
        <f>VLOOKUP($A91,'DB1'!$C:$Q,9,0)</f>
        <v>45658</v>
      </c>
      <c r="H91" s="13">
        <f>VLOOKUP($A91,'DB1'!$C:$Q,10,0)</f>
        <v>46022</v>
      </c>
    </row>
    <row r="92" spans="1:8" ht="33">
      <c r="A92" s="15" t="s">
        <v>392</v>
      </c>
      <c r="B92" s="12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2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2" t="str">
        <f>VLOOKUP($A92,'DB1'!$C:$Q,14,0)</f>
        <v>Environmental Assessment</v>
      </c>
      <c r="F92" s="12" t="str">
        <f>VLOOKUP($A92,'DB1'!$C:$Q,15,0)</f>
        <v>Marine Environment</v>
      </c>
      <c r="G92" s="13">
        <f>VLOOKUP($A92,'DB1'!$C:$Q,9,0)</f>
        <v>45658</v>
      </c>
      <c r="H92" s="13">
        <f>VLOOKUP($A92,'DB1'!$C:$Q,10,0)</f>
        <v>46022</v>
      </c>
    </row>
    <row r="93" spans="1:8" ht="33">
      <c r="A93" s="15" t="s">
        <v>397</v>
      </c>
      <c r="B93" s="12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2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2" t="str">
        <f>VLOOKUP($A93,'DB1'!$C:$Q,14,0)</f>
        <v>Carbon Neutrality and Energy</v>
      </c>
      <c r="F93" s="12" t="str">
        <f>VLOOKUP($A93,'DB1'!$C:$Q,15,0)</f>
        <v>AI and Environmental Informatics</v>
      </c>
      <c r="G93" s="13">
        <f>VLOOKUP($A93,'DB1'!$C:$Q,9,0)</f>
        <v>45658</v>
      </c>
      <c r="H93" s="13">
        <f>VLOOKUP($A93,'DB1'!$C:$Q,10,0)</f>
        <v>46022</v>
      </c>
    </row>
    <row r="94" spans="1:8" ht="33">
      <c r="A94" s="15" t="s">
        <v>402</v>
      </c>
      <c r="B94" s="12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2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2" t="str">
        <f>VLOOKUP($A94,'DB1'!$C:$Q,14,0)</f>
        <v>Atmospheric Environment</v>
      </c>
      <c r="F94" s="12">
        <f>VLOOKUP($A94,'DB1'!$C:$Q,15,0)</f>
        <v>0</v>
      </c>
      <c r="G94" s="13">
        <f>VLOOKUP($A94,'DB1'!$C:$Q,9,0)</f>
        <v>45658</v>
      </c>
      <c r="H94" s="13">
        <f>VLOOKUP($A94,'DB1'!$C:$Q,10,0)</f>
        <v>45747</v>
      </c>
    </row>
    <row r="95" spans="1:8" ht="33">
      <c r="A95" s="15" t="s">
        <v>427</v>
      </c>
      <c r="B95" s="12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2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2" t="str">
        <f>VLOOKUP($A95,'DB1'!$C:$Q,14,0)</f>
        <v>Water Management</v>
      </c>
      <c r="F95" s="12" t="str">
        <f>VLOOKUP($A95,'DB1'!$C:$Q,15,0)</f>
        <v>Ecology</v>
      </c>
      <c r="G95" s="13">
        <f>VLOOKUP($A95,'DB1'!$C:$Q,9,0)</f>
        <v>45658</v>
      </c>
      <c r="H95" s="13">
        <f>VLOOKUP($A95,'DB1'!$C:$Q,10,0)</f>
        <v>46022</v>
      </c>
    </row>
    <row r="96" spans="1:8" ht="33">
      <c r="A96" s="15" t="s">
        <v>432</v>
      </c>
      <c r="B96" s="12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2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2" t="str">
        <f>VLOOKUP($A96,'DB1'!$C:$Q,14,0)</f>
        <v>Water Management</v>
      </c>
      <c r="F96" s="12" t="str">
        <f>VLOOKUP($A96,'DB1'!$C:$Q,15,0)</f>
        <v>Ecology</v>
      </c>
      <c r="G96" s="13">
        <f>VLOOKUP($A96,'DB1'!$C:$Q,9,0)</f>
        <v>45658</v>
      </c>
      <c r="H96" s="13">
        <f>VLOOKUP($A96,'DB1'!$C:$Q,10,0)</f>
        <v>46022</v>
      </c>
    </row>
    <row r="97" spans="1:8" ht="33">
      <c r="A97" s="15" t="s">
        <v>441</v>
      </c>
      <c r="B97" s="12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2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2" t="str">
        <f>VLOOKUP($A97,'DB1'!$C:$Q,14,0)</f>
        <v>Carbon Neutrality and Energy</v>
      </c>
      <c r="F97" s="12" t="str">
        <f>VLOOKUP($A97,'DB1'!$C:$Q,15,0)</f>
        <v>Marine Environment</v>
      </c>
      <c r="G97" s="13">
        <f>VLOOKUP($A97,'DB1'!$C:$Q,9,0)</f>
        <v>45658</v>
      </c>
      <c r="H97" s="13">
        <f>VLOOKUP($A97,'DB1'!$C:$Q,10,0)</f>
        <v>46022</v>
      </c>
    </row>
    <row r="98" spans="1:8" ht="33">
      <c r="A98" s="15" t="s">
        <v>445</v>
      </c>
      <c r="B98" s="12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2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2" t="str">
        <f>VLOOKUP($A98,'DB1'!$C:$Q,14,0)</f>
        <v>Water Management</v>
      </c>
      <c r="F98" s="12" t="str">
        <f>VLOOKUP($A98,'DB1'!$C:$Q,15,0)</f>
        <v>Climate Adaptation</v>
      </c>
      <c r="G98" s="13">
        <f>VLOOKUP($A98,'DB1'!$C:$Q,9,0)</f>
        <v>45658</v>
      </c>
      <c r="H98" s="13">
        <f>VLOOKUP($A98,'DB1'!$C:$Q,10,0)</f>
        <v>46022</v>
      </c>
    </row>
    <row r="99" spans="1:8" ht="33">
      <c r="A99" s="15" t="s">
        <v>447</v>
      </c>
      <c r="B99" s="12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2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2" t="str">
        <f>VLOOKUP($A99,'DB1'!$C:$Q,14,0)</f>
        <v>Carbon Neutrality and Energy</v>
      </c>
      <c r="F99" s="12" t="str">
        <f>VLOOKUP($A99,'DB1'!$C:$Q,15,0)</f>
        <v>Climate Adaptation</v>
      </c>
      <c r="G99" s="13">
        <f>VLOOKUP($A99,'DB1'!$C:$Q,9,0)</f>
        <v>45658</v>
      </c>
      <c r="H99" s="13">
        <f>VLOOKUP($A99,'DB1'!$C:$Q,10,0)</f>
        <v>46022</v>
      </c>
    </row>
    <row r="100" spans="1:8" ht="33">
      <c r="A100" s="15" t="s">
        <v>544</v>
      </c>
      <c r="B100" s="12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2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2" t="str">
        <f>VLOOKUP($A100,'DB1'!$C:$Q,14,0)</f>
        <v>Marine Environment</v>
      </c>
      <c r="F100" s="12" t="str">
        <f>VLOOKUP($A100,'DB1'!$C:$Q,15,0)</f>
        <v>Environmental Health</v>
      </c>
      <c r="G100" s="13">
        <f>VLOOKUP($A100,'DB1'!$C:$Q,9,0)</f>
        <v>45658</v>
      </c>
      <c r="H100" s="13">
        <f>VLOOKUP($A100,'DB1'!$C:$Q,10,0)</f>
        <v>46022</v>
      </c>
    </row>
    <row r="101" spans="1:8" ht="33">
      <c r="A101" s="15" t="s">
        <v>817</v>
      </c>
      <c r="B101" s="12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2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2" t="str">
        <f>VLOOKUP($A101,'DB1'!$C:$Q,14,0)</f>
        <v>Environmental Economics</v>
      </c>
      <c r="F101" s="12" t="str">
        <f>VLOOKUP($A101,'DB1'!$C:$Q,15,0)</f>
        <v>Socio-Environmental Interface</v>
      </c>
      <c r="G101" s="13">
        <f>VLOOKUP($A101,'DB1'!$C:$Q,9,0)</f>
        <v>45658</v>
      </c>
      <c r="H101" s="13">
        <f>VLOOKUP($A101,'DB1'!$C:$Q,10,0)</f>
        <v>46022</v>
      </c>
    </row>
    <row r="102" spans="1:8" ht="33">
      <c r="A102" s="15" t="s">
        <v>841</v>
      </c>
      <c r="B102" s="12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2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2" t="str">
        <f>VLOOKUP($A102,'DB1'!$C:$Q,14,0)</f>
        <v>Ecology</v>
      </c>
      <c r="F102" s="12" t="str">
        <f>VLOOKUP($A102,'DB1'!$C:$Q,15,0)</f>
        <v>Socio-Environmental Interface</v>
      </c>
      <c r="G102" s="13">
        <f>VLOOKUP($A102,'DB1'!$C:$Q,9,0)</f>
        <v>45658</v>
      </c>
      <c r="H102" s="13">
        <f>VLOOKUP($A102,'DB1'!$C:$Q,10,0)</f>
        <v>45961</v>
      </c>
    </row>
    <row r="103" spans="1:8" ht="33">
      <c r="A103" s="15" t="s">
        <v>843</v>
      </c>
      <c r="B103" s="12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2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2" t="str">
        <f>VLOOKUP($A103,'DB1'!$C:$Q,14,0)</f>
        <v>Carbon Neutrality and Energy</v>
      </c>
      <c r="F103" s="12" t="str">
        <f>VLOOKUP($A103,'DB1'!$C:$Q,15,0)</f>
        <v>Marine Environment</v>
      </c>
      <c r="G103" s="13">
        <f>VLOOKUP($A103,'DB1'!$C:$Q,9,0)</f>
        <v>45658</v>
      </c>
      <c r="H103" s="13">
        <f>VLOOKUP($A103,'DB1'!$C:$Q,10,0)</f>
        <v>45961</v>
      </c>
    </row>
    <row r="104" spans="1:8" ht="33">
      <c r="A104" s="15" t="s">
        <v>848</v>
      </c>
      <c r="B104" s="12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2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2" t="str">
        <f>VLOOKUP($A104,'DB1'!$C:$Q,14,0)</f>
        <v>Environmental Assessment</v>
      </c>
      <c r="F104" s="12" t="str">
        <f>VLOOKUP($A104,'DB1'!$C:$Q,15,0)</f>
        <v>Climate Adaptation</v>
      </c>
      <c r="G104" s="13">
        <f>VLOOKUP($A104,'DB1'!$C:$Q,9,0)</f>
        <v>45658</v>
      </c>
      <c r="H104" s="13">
        <f>VLOOKUP($A104,'DB1'!$C:$Q,10,0)</f>
        <v>45961</v>
      </c>
    </row>
    <row r="105" spans="1:8" ht="33">
      <c r="A105" s="15" t="s">
        <v>850</v>
      </c>
      <c r="B105" s="12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2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2" t="str">
        <f>VLOOKUP($A105,'DB1'!$C:$Q,14,0)</f>
        <v>Climate Adaptation</v>
      </c>
      <c r="F105" s="12" t="str">
        <f>VLOOKUP($A105,'DB1'!$C:$Q,15,0)</f>
        <v>Land and Urban Environment</v>
      </c>
      <c r="G105" s="13">
        <f>VLOOKUP($A105,'DB1'!$C:$Q,9,0)</f>
        <v>45658</v>
      </c>
      <c r="H105" s="13">
        <f>VLOOKUP($A105,'DB1'!$C:$Q,10,0)</f>
        <v>45961</v>
      </c>
    </row>
    <row r="106" spans="1:8" ht="33">
      <c r="A106" s="15" t="s">
        <v>855</v>
      </c>
      <c r="B106" s="12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2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2" t="str">
        <f>VLOOKUP($A106,'DB1'!$C:$Q,14,0)</f>
        <v>Water Management</v>
      </c>
      <c r="F106" s="12" t="str">
        <f>VLOOKUP($A106,'DB1'!$C:$Q,15,0)</f>
        <v>Land and Urban Environment</v>
      </c>
      <c r="G106" s="13">
        <f>VLOOKUP($A106,'DB1'!$C:$Q,9,0)</f>
        <v>45658</v>
      </c>
      <c r="H106" s="13">
        <f>VLOOKUP($A106,'DB1'!$C:$Q,10,0)</f>
        <v>45961</v>
      </c>
    </row>
    <row r="107" spans="1:8" ht="33">
      <c r="A107" s="15" t="s">
        <v>857</v>
      </c>
      <c r="B107" s="12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2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2" t="str">
        <f>VLOOKUP($A107,'DB1'!$C:$Q,14,0)</f>
        <v>Water Management</v>
      </c>
      <c r="F107" s="12" t="str">
        <f>VLOOKUP($A107,'DB1'!$C:$Q,15,0)</f>
        <v>Environmental Economics</v>
      </c>
      <c r="G107" s="13">
        <f>VLOOKUP($A107,'DB1'!$C:$Q,9,0)</f>
        <v>45658</v>
      </c>
      <c r="H107" s="13">
        <f>VLOOKUP($A107,'DB1'!$C:$Q,10,0)</f>
        <v>46022</v>
      </c>
    </row>
    <row r="108" spans="1:8" ht="33">
      <c r="A108" s="15" t="s">
        <v>859</v>
      </c>
      <c r="B108" s="12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2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2" t="str">
        <f>VLOOKUP($A108,'DB1'!$C:$Q,14,0)</f>
        <v>Environmental Assessment</v>
      </c>
      <c r="F108" s="12" t="str">
        <f>VLOOKUP($A108,'DB1'!$C:$Q,15,0)</f>
        <v>Land and Urban Environment</v>
      </c>
      <c r="G108" s="13">
        <f>VLOOKUP($A108,'DB1'!$C:$Q,9,0)</f>
        <v>45658</v>
      </c>
      <c r="H108" s="13">
        <f>VLOOKUP($A108,'DB1'!$C:$Q,10,0)</f>
        <v>45961</v>
      </c>
    </row>
    <row r="109" spans="1:8" ht="33">
      <c r="A109" s="15" t="s">
        <v>862</v>
      </c>
      <c r="B109" s="12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2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2" t="str">
        <f>VLOOKUP($A109,'DB1'!$C:$Q,14,0)</f>
        <v>Carbon Neutrality and Energy</v>
      </c>
      <c r="F109" s="12" t="str">
        <f>VLOOKUP($A109,'DB1'!$C:$Q,15,0)</f>
        <v>Socio-Environmental Interface</v>
      </c>
      <c r="G109" s="13">
        <f>VLOOKUP($A109,'DB1'!$C:$Q,9,0)</f>
        <v>45658</v>
      </c>
      <c r="H109" s="13">
        <f>VLOOKUP($A109,'DB1'!$C:$Q,10,0)</f>
        <v>46022</v>
      </c>
    </row>
    <row r="110" spans="1:8">
      <c r="A110" s="15" t="s">
        <v>864</v>
      </c>
      <c r="B110" s="12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2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2" t="str">
        <f>VLOOKUP($A110,'DB1'!$C:$Q,14,0)</f>
        <v>Environmental Health</v>
      </c>
      <c r="F110" s="12">
        <f>VLOOKUP($A110,'DB1'!$C:$Q,15,0)</f>
        <v>0</v>
      </c>
      <c r="G110" s="13">
        <f>VLOOKUP($A110,'DB1'!$C:$Q,9,0)</f>
        <v>45658</v>
      </c>
      <c r="H110" s="13">
        <f>VLOOKUP($A110,'DB1'!$C:$Q,10,0)</f>
        <v>45961</v>
      </c>
    </row>
    <row r="111" spans="1:8" ht="33">
      <c r="A111" s="15" t="s">
        <v>868</v>
      </c>
      <c r="B111" s="12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2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2" t="str">
        <f>VLOOKUP($A111,'DB1'!$C:$Q,14,0)</f>
        <v>Atmospheric Environment</v>
      </c>
      <c r="F111" s="12" t="str">
        <f>VLOOKUP($A111,'DB1'!$C:$Q,15,0)</f>
        <v>Carbon Neutrality and Energy</v>
      </c>
      <c r="G111" s="13">
        <f>VLOOKUP($A111,'DB1'!$C:$Q,9,0)</f>
        <v>45658</v>
      </c>
      <c r="H111" s="13">
        <f>VLOOKUP($A111,'DB1'!$C:$Q,10,0)</f>
        <v>45961</v>
      </c>
    </row>
    <row r="112" spans="1:8">
      <c r="A112" s="15" t="s">
        <v>870</v>
      </c>
      <c r="B112" s="12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2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2" t="str">
        <f>VLOOKUP($A112,'DB1'!$C:$Q,14,0)</f>
        <v>Water Management</v>
      </c>
      <c r="F112" s="12" t="str">
        <f>VLOOKUP($A112,'DB1'!$C:$Q,15,0)</f>
        <v>Ecology</v>
      </c>
      <c r="G112" s="13">
        <f>VLOOKUP($A112,'DB1'!$C:$Q,9,0)</f>
        <v>45658</v>
      </c>
      <c r="H112" s="13">
        <f>VLOOKUP($A112,'DB1'!$C:$Q,10,0)</f>
        <v>46022</v>
      </c>
    </row>
    <row r="113" spans="1:8" ht="33">
      <c r="A113" s="15" t="s">
        <v>872</v>
      </c>
      <c r="B113" s="12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2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2" t="str">
        <f>VLOOKUP($A113,'DB1'!$C:$Q,14,0)</f>
        <v>Circular Economy</v>
      </c>
      <c r="F113" s="12" t="str">
        <f>VLOOKUP($A113,'DB1'!$C:$Q,15,0)</f>
        <v>Environmental Economics</v>
      </c>
      <c r="G113" s="13">
        <f>VLOOKUP($A113,'DB1'!$C:$Q,9,0)</f>
        <v>45658</v>
      </c>
      <c r="H113" s="13">
        <f>VLOOKUP($A113,'DB1'!$C:$Q,10,0)</f>
        <v>45961</v>
      </c>
    </row>
    <row r="114" spans="1:8" ht="33">
      <c r="A114" s="15" t="s">
        <v>873</v>
      </c>
      <c r="B114" s="12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2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2" t="str">
        <f>VLOOKUP($A114,'DB1'!$C:$Q,14,0)</f>
        <v>Atmospheric Environment</v>
      </c>
      <c r="F114" s="12" t="str">
        <f>VLOOKUP($A114,'DB1'!$C:$Q,15,0)</f>
        <v>AI and Environmental Informatics</v>
      </c>
      <c r="G114" s="13">
        <f>VLOOKUP($A114,'DB1'!$C:$Q,9,0)</f>
        <v>45658</v>
      </c>
      <c r="H114" s="13">
        <f>VLOOKUP($A114,'DB1'!$C:$Q,10,0)</f>
        <v>46022</v>
      </c>
    </row>
    <row r="115" spans="1:8">
      <c r="A115" s="15" t="s">
        <v>875</v>
      </c>
      <c r="B115" s="12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2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2" t="str">
        <f>VLOOKUP($A115,'DB1'!$C:$Q,14,0)</f>
        <v>Environmental Health</v>
      </c>
      <c r="F115" s="12" t="str">
        <f>VLOOKUP($A115,'DB1'!$C:$Q,15,0)</f>
        <v>Climate Adaptation</v>
      </c>
      <c r="G115" s="13">
        <f>VLOOKUP($A115,'DB1'!$C:$Q,9,0)</f>
        <v>45658</v>
      </c>
      <c r="H115" s="13">
        <f>VLOOKUP($A115,'DB1'!$C:$Q,10,0)</f>
        <v>45961</v>
      </c>
    </row>
    <row r="116" spans="1:8" ht="33">
      <c r="A116" s="15" t="s">
        <v>882</v>
      </c>
      <c r="B116" s="12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2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2" t="str">
        <f>VLOOKUP($A116,'DB1'!$C:$Q,14,0)</f>
        <v>Carbon Neutrality and Energy</v>
      </c>
      <c r="F116" s="12" t="str">
        <f>VLOOKUP($A116,'DB1'!$C:$Q,15,0)</f>
        <v>Atmospheric Environment</v>
      </c>
      <c r="G116" s="13">
        <f>VLOOKUP($A116,'DB1'!$C:$Q,9,0)</f>
        <v>45658</v>
      </c>
      <c r="H116" s="13">
        <f>VLOOKUP($A116,'DB1'!$C:$Q,10,0)</f>
        <v>46022</v>
      </c>
    </row>
    <row r="117" spans="1:8" ht="33">
      <c r="A117" s="15" t="s">
        <v>404</v>
      </c>
      <c r="B117" s="12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2" t="str">
        <f>VLOOKUP($A117,'DB1'!$C:$Q,12,0)</f>
        <v>Field Investigation of Corbicula japonica Habitats in the Lower Seomjin River (Phase 2)</v>
      </c>
      <c r="D117" s="11" t="str">
        <f>VLOOKUP($A117,'DB1'!$C:$Q,13,0)</f>
        <v>Baek, Donghae</v>
      </c>
      <c r="E117" s="12" t="str">
        <f>VLOOKUP($A117,'DB1'!$C:$Q,14,0)</f>
        <v>Ecology</v>
      </c>
      <c r="F117" s="12" t="str">
        <f>VLOOKUP($A117,'DB1'!$C:$Q,15,0)</f>
        <v>Water Management</v>
      </c>
      <c r="G117" s="13">
        <f>VLOOKUP($A117,'DB1'!$C:$Q,9,0)</f>
        <v>45672</v>
      </c>
      <c r="H117" s="13">
        <f>VLOOKUP($A117,'DB1'!$C:$Q,10,0)</f>
        <v>46095</v>
      </c>
    </row>
    <row r="118" spans="1:8" ht="33">
      <c r="A118" s="15" t="s">
        <v>412</v>
      </c>
      <c r="B118" s="12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2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2" t="str">
        <f>VLOOKUP($A118,'DB1'!$C:$Q,14,0)</f>
        <v>Water Management</v>
      </c>
      <c r="F118" s="12" t="str">
        <f>VLOOKUP($A118,'DB1'!$C:$Q,15,0)</f>
        <v>Land and Urban Environment</v>
      </c>
      <c r="G118" s="13">
        <f>VLOOKUP($A118,'DB1'!$C:$Q,9,0)</f>
        <v>45674</v>
      </c>
      <c r="H118" s="13">
        <f>VLOOKUP($A118,'DB1'!$C:$Q,10,0)</f>
        <v>45972</v>
      </c>
    </row>
    <row r="119" spans="1:8" ht="33">
      <c r="A119" s="15" t="s">
        <v>958</v>
      </c>
      <c r="B119" s="12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2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2" t="str">
        <f>VLOOKUP($A119,'DB1'!$C:$Q,14,0)</f>
        <v>Circular Economy</v>
      </c>
      <c r="F119" s="12" t="str">
        <f>VLOOKUP($A119,'DB1'!$C:$Q,15,0)</f>
        <v>Environmental Economics</v>
      </c>
      <c r="G119" s="13">
        <f>VLOOKUP($A119,'DB1'!$C:$Q,9,0)</f>
        <v>45677</v>
      </c>
      <c r="H119" s="13">
        <f>VLOOKUP($A119,'DB1'!$C:$Q,10,0)</f>
        <v>45857</v>
      </c>
    </row>
    <row r="120" spans="1:8" ht="49.5">
      <c r="A120" s="15" t="s">
        <v>960</v>
      </c>
      <c r="B120" s="12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2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2" t="str">
        <f>VLOOKUP($A120,'DB1'!$C:$Q,14,0)</f>
        <v>Carbon Neutrality and Energy</v>
      </c>
      <c r="F120" s="12" t="str">
        <f>VLOOKUP($A120,'DB1'!$C:$Q,15,0)</f>
        <v>International Environmental Collaboration</v>
      </c>
      <c r="G120" s="13">
        <f>VLOOKUP($A120,'DB1'!$C:$Q,9,0)</f>
        <v>45677</v>
      </c>
      <c r="H120" s="13">
        <f>VLOOKUP($A120,'DB1'!$C:$Q,10,0)</f>
        <v>45857</v>
      </c>
    </row>
    <row r="121" spans="1:8" ht="33">
      <c r="A121" s="15" t="s">
        <v>961</v>
      </c>
      <c r="B121" s="12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2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2" t="str">
        <f>VLOOKUP($A121,'DB1'!$C:$Q,14,0)</f>
        <v>Environmental Health</v>
      </c>
      <c r="F121" s="12" t="str">
        <f>VLOOKUP($A121,'DB1'!$C:$Q,15,0)</f>
        <v>Socio-Environmental Interface</v>
      </c>
      <c r="G121" s="13">
        <f>VLOOKUP($A121,'DB1'!$C:$Q,9,0)</f>
        <v>45677</v>
      </c>
      <c r="H121" s="13">
        <f>VLOOKUP($A121,'DB1'!$C:$Q,10,0)</f>
        <v>45857</v>
      </c>
    </row>
    <row r="122" spans="1:8" ht="33">
      <c r="A122" s="15" t="s">
        <v>415</v>
      </c>
      <c r="B122" s="12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2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2" t="str">
        <f>VLOOKUP($A122,'DB1'!$C:$Q,14,0)</f>
        <v>Water Management</v>
      </c>
      <c r="F122" s="12">
        <f>VLOOKUP($A122,'DB1'!$C:$Q,15,0)</f>
        <v>0</v>
      </c>
      <c r="G122" s="13">
        <f>VLOOKUP($A122,'DB1'!$C:$Q,9,0)</f>
        <v>45681</v>
      </c>
      <c r="H122" s="13">
        <f>VLOOKUP($A122,'DB1'!$C:$Q,10,0)</f>
        <v>45980</v>
      </c>
    </row>
    <row r="123" spans="1:8" ht="33">
      <c r="A123" s="15" t="s">
        <v>423</v>
      </c>
      <c r="B123" s="12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2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2" t="str">
        <f>VLOOKUP($A123,'DB1'!$C:$Q,14,0)</f>
        <v>Carbon Neutrality and Energy</v>
      </c>
      <c r="F123" s="12">
        <f>VLOOKUP($A123,'DB1'!$C:$Q,15,0)</f>
        <v>0</v>
      </c>
      <c r="G123" s="13">
        <f>VLOOKUP($A123,'DB1'!$C:$Q,9,0)</f>
        <v>45685</v>
      </c>
      <c r="H123" s="13">
        <f>VLOOKUP($A123,'DB1'!$C:$Q,10,0)</f>
        <v>45895</v>
      </c>
    </row>
    <row r="124" spans="1:8" ht="33">
      <c r="A124" s="15" t="s">
        <v>418</v>
      </c>
      <c r="B124" s="12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2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2" t="str">
        <f>VLOOKUP($A124,'DB1'!$C:$Q,14,0)</f>
        <v>Environmental Assessment</v>
      </c>
      <c r="F124" s="12">
        <f>VLOOKUP($A124,'DB1'!$C:$Q,15,0)</f>
        <v>0</v>
      </c>
      <c r="G124" s="13">
        <f>VLOOKUP($A124,'DB1'!$C:$Q,9,0)</f>
        <v>45695</v>
      </c>
      <c r="H124" s="13">
        <f>VLOOKUP($A124,'DB1'!$C:$Q,10,0)</f>
        <v>45994</v>
      </c>
    </row>
    <row r="125" spans="1:8" ht="33">
      <c r="A125" s="15" t="s">
        <v>438</v>
      </c>
      <c r="B125" s="12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2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2" t="str">
        <f>VLOOKUP($A125,'DB1'!$C:$Q,14,0)</f>
        <v>Environmental Assessment</v>
      </c>
      <c r="F125" s="12">
        <f>VLOOKUP($A125,'DB1'!$C:$Q,15,0)</f>
        <v>0</v>
      </c>
      <c r="G125" s="13">
        <f>VLOOKUP($A125,'DB1'!$C:$Q,9,0)</f>
        <v>45705</v>
      </c>
      <c r="H125" s="13">
        <f>VLOOKUP($A125,'DB1'!$C:$Q,10,0)</f>
        <v>46003</v>
      </c>
    </row>
    <row r="126" spans="1:8" ht="33">
      <c r="A126" s="15" t="s">
        <v>454</v>
      </c>
      <c r="B126" s="12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2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2" t="str">
        <f>VLOOKUP($A126,'DB1'!$C:$Q,14,0)</f>
        <v>Circular Economy</v>
      </c>
      <c r="F126" s="12" t="str">
        <f>VLOOKUP($A126,'DB1'!$C:$Q,15,0)</f>
        <v>Socio-Environmental Interface</v>
      </c>
      <c r="G126" s="13">
        <f>VLOOKUP($A126,'DB1'!$C:$Q,9,0)</f>
        <v>45712</v>
      </c>
      <c r="H126" s="13">
        <f>VLOOKUP($A126,'DB1'!$C:$Q,10,0)</f>
        <v>45982</v>
      </c>
    </row>
    <row r="127" spans="1:8" ht="33">
      <c r="A127" s="15" t="s">
        <v>451</v>
      </c>
      <c r="B127" s="12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2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2" t="str">
        <f>VLOOKUP($A127,'DB1'!$C:$Q,14,0)</f>
        <v>Environmental Assessment</v>
      </c>
      <c r="F127" s="12" t="str">
        <f>VLOOKUP($A127,'DB1'!$C:$Q,15,0)</f>
        <v>Carbon Neutrality and Energy</v>
      </c>
      <c r="G127" s="13">
        <f>VLOOKUP($A127,'DB1'!$C:$Q,9,0)</f>
        <v>45715</v>
      </c>
      <c r="H127" s="13">
        <f>VLOOKUP($A127,'DB1'!$C:$Q,10,0)</f>
        <v>46022</v>
      </c>
    </row>
    <row r="128" spans="1:8" ht="33">
      <c r="A128" s="15" t="s">
        <v>457</v>
      </c>
      <c r="B128" s="12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2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2" t="str">
        <f>VLOOKUP($A128,'DB1'!$C:$Q,14,0)</f>
        <v>Water Management</v>
      </c>
      <c r="F128" s="12" t="str">
        <f>VLOOKUP($A128,'DB1'!$C:$Q,15,0)</f>
        <v>Environmental Economics</v>
      </c>
      <c r="G128" s="13">
        <f>VLOOKUP($A128,'DB1'!$C:$Q,9,0)</f>
        <v>45717</v>
      </c>
      <c r="H128" s="13">
        <f>VLOOKUP($A128,'DB1'!$C:$Q,10,0)</f>
        <v>46081</v>
      </c>
    </row>
    <row r="129" spans="1:8" ht="33">
      <c r="A129" s="15" t="s">
        <v>489</v>
      </c>
      <c r="B129" s="12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2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2" t="str">
        <f>VLOOKUP($A129,'DB1'!$C:$Q,14,0)</f>
        <v>AI and Environmental Informatics</v>
      </c>
      <c r="F129" s="12" t="str">
        <f>VLOOKUP($A129,'DB1'!$C:$Q,15,0)</f>
        <v>Ecology</v>
      </c>
      <c r="G129" s="13">
        <f>VLOOKUP($A129,'DB1'!$C:$Q,9,0)</f>
        <v>45717</v>
      </c>
      <c r="H129" s="13">
        <f>VLOOKUP($A129,'DB1'!$C:$Q,10,0)</f>
        <v>46535</v>
      </c>
    </row>
    <row r="130" spans="1:8">
      <c r="A130" s="15" t="s">
        <v>764</v>
      </c>
      <c r="B130" s="12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2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2" t="str">
        <f>VLOOKUP($A130,'DB1'!$C:$Q,14,0)</f>
        <v>Circular Economy</v>
      </c>
      <c r="F130" s="12">
        <f>VLOOKUP($A130,'DB1'!$C:$Q,15,0)</f>
        <v>0</v>
      </c>
      <c r="G130" s="13">
        <f>VLOOKUP($A130,'DB1'!$C:$Q,9,0)</f>
        <v>45720</v>
      </c>
      <c r="H130" s="13">
        <f>VLOOKUP($A130,'DB1'!$C:$Q,10,0)</f>
        <v>45903</v>
      </c>
    </row>
    <row r="131" spans="1:8">
      <c r="A131" s="15" t="s">
        <v>767</v>
      </c>
      <c r="B131" s="12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2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2" t="str">
        <f>VLOOKUP($A131,'DB1'!$C:$Q,14,0)</f>
        <v>Climate Adaptation</v>
      </c>
      <c r="F131" s="12" t="str">
        <f>VLOOKUP($A131,'DB1'!$C:$Q,15,0)</f>
        <v>Marine Environment</v>
      </c>
      <c r="G131" s="13">
        <f>VLOOKUP($A131,'DB1'!$C:$Q,9,0)</f>
        <v>45720</v>
      </c>
      <c r="H131" s="13">
        <f>VLOOKUP($A131,'DB1'!$C:$Q,10,0)</f>
        <v>45903</v>
      </c>
    </row>
    <row r="132" spans="1:8" ht="33">
      <c r="A132" s="15" t="s">
        <v>770</v>
      </c>
      <c r="B132" s="12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2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2" t="str">
        <f>VLOOKUP($A132,'DB1'!$C:$Q,14,0)</f>
        <v>Environmental Economics</v>
      </c>
      <c r="F132" s="12" t="str">
        <f>VLOOKUP($A132,'DB1'!$C:$Q,15,0)</f>
        <v>Socio-Environmental Interface</v>
      </c>
      <c r="G132" s="13">
        <f>VLOOKUP($A132,'DB1'!$C:$Q,9,0)</f>
        <v>45720</v>
      </c>
      <c r="H132" s="13">
        <f>VLOOKUP($A132,'DB1'!$C:$Q,10,0)</f>
        <v>45903</v>
      </c>
    </row>
    <row r="133" spans="1:8" ht="33">
      <c r="A133" s="15" t="s">
        <v>479</v>
      </c>
      <c r="B133" s="12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2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2" t="str">
        <f>VLOOKUP($A133,'DB1'!$C:$Q,14,0)</f>
        <v>Land and Urban Environment</v>
      </c>
      <c r="F133" s="12" t="str">
        <f>VLOOKUP($A133,'DB1'!$C:$Q,15,0)</f>
        <v>Ecology</v>
      </c>
      <c r="G133" s="13">
        <f>VLOOKUP($A133,'DB1'!$C:$Q,9,0)</f>
        <v>45722</v>
      </c>
      <c r="H133" s="13">
        <f>VLOOKUP($A133,'DB1'!$C:$Q,10,0)</f>
        <v>46086</v>
      </c>
    </row>
    <row r="134" spans="1:8" ht="33">
      <c r="A134" s="15" t="s">
        <v>463</v>
      </c>
      <c r="B134" s="12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2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2" t="str">
        <f>VLOOKUP($A134,'DB1'!$C:$Q,14,0)</f>
        <v>Socio-Environmental Interface</v>
      </c>
      <c r="F134" s="12">
        <f>VLOOKUP($A134,'DB1'!$C:$Q,15,0)</f>
        <v>0</v>
      </c>
      <c r="G134" s="13">
        <f>VLOOKUP($A134,'DB1'!$C:$Q,9,0)</f>
        <v>45723</v>
      </c>
      <c r="H134" s="13">
        <f>VLOOKUP($A134,'DB1'!$C:$Q,10,0)</f>
        <v>46006</v>
      </c>
    </row>
    <row r="135" spans="1:8" ht="33">
      <c r="A135" s="15" t="s">
        <v>468</v>
      </c>
      <c r="B135" s="12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2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2" t="str">
        <f>VLOOKUP($A135,'DB1'!$C:$Q,14,0)</f>
        <v>Land and Urban Environment</v>
      </c>
      <c r="F135" s="12">
        <f>VLOOKUP($A135,'DB1'!$C:$Q,15,0)</f>
        <v>0</v>
      </c>
      <c r="G135" s="13">
        <f>VLOOKUP($A135,'DB1'!$C:$Q,9,0)</f>
        <v>45723</v>
      </c>
      <c r="H135" s="13">
        <f>VLOOKUP($A135,'DB1'!$C:$Q,10,0)</f>
        <v>46022</v>
      </c>
    </row>
    <row r="136" spans="1:8" ht="33">
      <c r="A136" s="15" t="s">
        <v>473</v>
      </c>
      <c r="B136" s="12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2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2" t="str">
        <f>VLOOKUP($A136,'DB1'!$C:$Q,14,0)</f>
        <v>Environmental Assessment</v>
      </c>
      <c r="F136" s="12">
        <f>VLOOKUP($A136,'DB1'!$C:$Q,15,0)</f>
        <v>0</v>
      </c>
      <c r="G136" s="13">
        <f>VLOOKUP($A136,'DB1'!$C:$Q,9,0)</f>
        <v>45726</v>
      </c>
      <c r="H136" s="13">
        <f>VLOOKUP($A136,'DB1'!$C:$Q,10,0)</f>
        <v>45995</v>
      </c>
    </row>
    <row r="137" spans="1:8" ht="33">
      <c r="A137" s="15" t="s">
        <v>482</v>
      </c>
      <c r="B137" s="12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2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2" t="str">
        <f>VLOOKUP($A137,'DB1'!$C:$Q,14,0)</f>
        <v>Socio-Environmental Interface</v>
      </c>
      <c r="F137" s="12" t="str">
        <f>VLOOKUP($A137,'DB1'!$C:$Q,15,0)</f>
        <v>Environmental Assessment</v>
      </c>
      <c r="G137" s="13">
        <f>VLOOKUP($A137,'DB1'!$C:$Q,9,0)</f>
        <v>45727</v>
      </c>
      <c r="H137" s="13">
        <f>VLOOKUP($A137,'DB1'!$C:$Q,10,0)</f>
        <v>45989</v>
      </c>
    </row>
    <row r="138" spans="1:8" ht="33">
      <c r="A138" s="15" t="s">
        <v>492</v>
      </c>
      <c r="B138" s="12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2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2" t="str">
        <f>VLOOKUP($A138,'DB1'!$C:$Q,14,0)</f>
        <v>Environmental Assessment</v>
      </c>
      <c r="F138" s="12">
        <f>VLOOKUP($A138,'DB1'!$C:$Q,15,0)</f>
        <v>0</v>
      </c>
      <c r="G138" s="13">
        <f>VLOOKUP($A138,'DB1'!$C:$Q,9,0)</f>
        <v>45729</v>
      </c>
      <c r="H138" s="13">
        <f>VLOOKUP($A138,'DB1'!$C:$Q,10,0)</f>
        <v>45998</v>
      </c>
    </row>
    <row r="139" spans="1:8" ht="33">
      <c r="A139" s="15" t="s">
        <v>460</v>
      </c>
      <c r="B139" s="12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2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2" t="str">
        <f>VLOOKUP($A139,'DB1'!$C:$Q,14,0)</f>
        <v>Ecology</v>
      </c>
      <c r="F139" s="12" t="str">
        <f>VLOOKUP($A139,'DB1'!$C:$Q,15,0)</f>
        <v>Land and Urban Environment</v>
      </c>
      <c r="G139" s="13">
        <f>VLOOKUP($A139,'DB1'!$C:$Q,9,0)</f>
        <v>45730</v>
      </c>
      <c r="H139" s="13">
        <f>VLOOKUP($A139,'DB1'!$C:$Q,10,0)</f>
        <v>46389</v>
      </c>
    </row>
    <row r="140" spans="1:8" ht="33">
      <c r="A140" s="15" t="s">
        <v>495</v>
      </c>
      <c r="B140" s="12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2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2" t="str">
        <f>VLOOKUP($A140,'DB1'!$C:$Q,14,0)</f>
        <v>Carbon Neutrality and Energy</v>
      </c>
      <c r="F140" s="12" t="str">
        <f>VLOOKUP($A140,'DB1'!$C:$Q,15,0)</f>
        <v>Environmental Economics</v>
      </c>
      <c r="G140" s="13">
        <f>VLOOKUP($A140,'DB1'!$C:$Q,9,0)</f>
        <v>45730</v>
      </c>
      <c r="H140" s="13">
        <f>VLOOKUP($A140,'DB1'!$C:$Q,10,0)</f>
        <v>45970</v>
      </c>
    </row>
    <row r="141" spans="1:8" ht="49.5">
      <c r="A141" s="15" t="s">
        <v>501</v>
      </c>
      <c r="B141" s="12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2" t="str">
        <f>VLOOKUP($A141,'DB1'!$C:$Q,12,0)</f>
        <v>Indicator Development for Evaluating National Biodiversity Strategy Implementation (Year 2)</v>
      </c>
      <c r="D141" s="11" t="str">
        <f>VLOOKUP($A141,'DB1'!$C:$Q,13,0)</f>
        <v xml:space="preserve">Koo, Kyung Ah </v>
      </c>
      <c r="E141" s="12" t="str">
        <f>VLOOKUP($A141,'DB1'!$C:$Q,14,0)</f>
        <v>Ecology</v>
      </c>
      <c r="F141" s="12" t="str">
        <f>VLOOKUP($A141,'DB1'!$C:$Q,15,0)</f>
        <v>International Environmental Collaboration</v>
      </c>
      <c r="G141" s="13">
        <f>VLOOKUP($A141,'DB1'!$C:$Q,9,0)</f>
        <v>45734</v>
      </c>
      <c r="H141" s="13">
        <f>VLOOKUP($A141,'DB1'!$C:$Q,10,0)</f>
        <v>45991</v>
      </c>
    </row>
    <row r="142" spans="1:8" ht="33">
      <c r="A142" s="15" t="s">
        <v>378</v>
      </c>
      <c r="B142" s="12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2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2" t="str">
        <f>VLOOKUP($A142,'DB1'!$C:$Q,14,0)</f>
        <v>Water Management</v>
      </c>
      <c r="F142" s="12" t="str">
        <f>VLOOKUP($A142,'DB1'!$C:$Q,15,0)</f>
        <v>AI and Environmental Informatics</v>
      </c>
      <c r="G142" s="13">
        <f>VLOOKUP($A142,'DB1'!$C:$Q,9,0)</f>
        <v>45735</v>
      </c>
      <c r="H142" s="13">
        <f>VLOOKUP($A142,'DB1'!$C:$Q,10,0)</f>
        <v>46099</v>
      </c>
    </row>
    <row r="143" spans="1:8" ht="33">
      <c r="A143" s="15" t="s">
        <v>534</v>
      </c>
      <c r="B143" s="12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2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2" t="str">
        <f>VLOOKUP($A143,'DB1'!$C:$Q,14,0)</f>
        <v>Environmental Health</v>
      </c>
      <c r="F143" s="12" t="str">
        <f>VLOOKUP($A143,'DB1'!$C:$Q,15,0)</f>
        <v>AI and Environmental Informatics</v>
      </c>
      <c r="G143" s="13">
        <f>VLOOKUP($A143,'DB1'!$C:$Q,9,0)</f>
        <v>45735</v>
      </c>
      <c r="H143" s="13">
        <f>VLOOKUP($A143,'DB1'!$C:$Q,10,0)</f>
        <v>46022</v>
      </c>
    </row>
    <row r="144" spans="1:8" ht="33">
      <c r="A144" s="15" t="s">
        <v>546</v>
      </c>
      <c r="B144" s="12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2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2" t="str">
        <f>VLOOKUP($A144,'DB1'!$C:$Q,14,0)</f>
        <v>Environmental Economics</v>
      </c>
      <c r="F144" s="12" t="str">
        <f>VLOOKUP($A144,'DB1'!$C:$Q,15,0)</f>
        <v>Carbon Neutrality and Energy</v>
      </c>
      <c r="G144" s="13">
        <f>VLOOKUP($A144,'DB1'!$C:$Q,9,0)</f>
        <v>45742</v>
      </c>
      <c r="H144" s="13">
        <f>VLOOKUP($A144,'DB1'!$C:$Q,10,0)</f>
        <v>46048</v>
      </c>
    </row>
    <row r="145" spans="1:8" ht="33">
      <c r="A145" s="15" t="s">
        <v>504</v>
      </c>
      <c r="B145" s="12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2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2" t="str">
        <f>VLOOKUP($A145,'DB1'!$C:$Q,14,0)</f>
        <v>Environmental Economics</v>
      </c>
      <c r="F145" s="12" t="str">
        <f>VLOOKUP($A145,'DB1'!$C:$Q,15,0)</f>
        <v>AI and Environmental Informatics</v>
      </c>
      <c r="G145" s="13">
        <f>VLOOKUP($A145,'DB1'!$C:$Q,9,0)</f>
        <v>45747</v>
      </c>
      <c r="H145" s="13">
        <f>VLOOKUP($A145,'DB1'!$C:$Q,10,0)</f>
        <v>46022</v>
      </c>
    </row>
    <row r="146" spans="1:8" ht="33">
      <c r="A146" s="15" t="s">
        <v>507</v>
      </c>
      <c r="B146" s="12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2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2" t="str">
        <f>VLOOKUP($A146,'DB1'!$C:$Q,14,0)</f>
        <v>Ecology</v>
      </c>
      <c r="F146" s="12" t="str">
        <f>VLOOKUP($A146,'DB1'!$C:$Q,15,0)</f>
        <v>Land and Urban Environment</v>
      </c>
      <c r="G146" s="13">
        <f>VLOOKUP($A146,'DB1'!$C:$Q,9,0)</f>
        <v>45748</v>
      </c>
      <c r="H146" s="13">
        <f>VLOOKUP($A146,'DB1'!$C:$Q,10,0)</f>
        <v>45927</v>
      </c>
    </row>
    <row r="147" spans="1:8" ht="33">
      <c r="A147" s="15" t="s">
        <v>512</v>
      </c>
      <c r="B147" s="12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2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2" t="str">
        <f>VLOOKUP($A147,'DB1'!$C:$Q,14,0)</f>
        <v>Environmental Assessment</v>
      </c>
      <c r="F147" s="12" t="str">
        <f>VLOOKUP($A147,'DB1'!$C:$Q,15,0)</f>
        <v>AI and Environmental Informatics</v>
      </c>
      <c r="G147" s="13">
        <f>VLOOKUP($A147,'DB1'!$C:$Q,9,0)</f>
        <v>45748</v>
      </c>
      <c r="H147" s="13">
        <f>VLOOKUP($A147,'DB1'!$C:$Q,10,0)</f>
        <v>45987</v>
      </c>
    </row>
    <row r="148" spans="1:8" ht="33">
      <c r="A148" s="15" t="s">
        <v>541</v>
      </c>
      <c r="B148" s="12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2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2" t="str">
        <f>VLOOKUP($A148,'DB1'!$C:$Q,14,0)</f>
        <v>Land and Urban Environment</v>
      </c>
      <c r="F148" s="12" t="str">
        <f>VLOOKUP($A148,'DB1'!$C:$Q,15,0)</f>
        <v>AI and Environmental Informatics</v>
      </c>
      <c r="G148" s="13">
        <f>VLOOKUP($A148,'DB1'!$C:$Q,9,0)</f>
        <v>45748</v>
      </c>
      <c r="H148" s="13">
        <f>VLOOKUP($A148,'DB1'!$C:$Q,10,0)</f>
        <v>46022</v>
      </c>
    </row>
    <row r="149" spans="1:8" ht="33">
      <c r="A149" s="15" t="s">
        <v>557</v>
      </c>
      <c r="B149" s="12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2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2" t="str">
        <f>VLOOKUP($A149,'DB1'!$C:$Q,14,0)</f>
        <v>Climate Adaptation</v>
      </c>
      <c r="F149" s="12" t="str">
        <f>VLOOKUP($A149,'DB1'!$C:$Q,15,0)</f>
        <v>Marine Environment</v>
      </c>
      <c r="G149" s="13">
        <f>VLOOKUP($A149,'DB1'!$C:$Q,9,0)</f>
        <v>45748</v>
      </c>
      <c r="H149" s="13">
        <f>VLOOKUP($A149,'DB1'!$C:$Q,10,0)</f>
        <v>46022</v>
      </c>
    </row>
    <row r="150" spans="1:8" ht="33">
      <c r="A150" s="15" t="s">
        <v>571</v>
      </c>
      <c r="B150" s="12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2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2" t="str">
        <f>VLOOKUP($A150,'DB1'!$C:$Q,14,0)</f>
        <v>Environmental Economics</v>
      </c>
      <c r="F150" s="12" t="str">
        <f>VLOOKUP($A150,'DB1'!$C:$Q,15,0)</f>
        <v>Ecology</v>
      </c>
      <c r="G150" s="13">
        <f>VLOOKUP($A150,'DB1'!$C:$Q,9,0)</f>
        <v>45748</v>
      </c>
      <c r="H150" s="13">
        <f>VLOOKUP($A150,'DB1'!$C:$Q,10,0)</f>
        <v>46022</v>
      </c>
    </row>
    <row r="151" spans="1:8" ht="33">
      <c r="A151" s="15" t="s">
        <v>595</v>
      </c>
      <c r="B151" s="12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2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2" t="str">
        <f>VLOOKUP($A151,'DB1'!$C:$Q,14,0)</f>
        <v>Climate Adaptation</v>
      </c>
      <c r="F151" s="12" t="str">
        <f>VLOOKUP($A151,'DB1'!$C:$Q,15,0)</f>
        <v>Socio-Environmental Interface</v>
      </c>
      <c r="G151" s="13">
        <f>VLOOKUP($A151,'DB1'!$C:$Q,9,0)</f>
        <v>45748</v>
      </c>
      <c r="H151" s="13">
        <f>VLOOKUP($A151,'DB1'!$C:$Q,10,0)</f>
        <v>46022</v>
      </c>
    </row>
    <row r="152" spans="1:8" ht="33">
      <c r="A152" s="15" t="s">
        <v>599</v>
      </c>
      <c r="B152" s="12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2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2" t="str">
        <f>VLOOKUP($A152,'DB1'!$C:$Q,14,0)</f>
        <v>Land and Urban Environment</v>
      </c>
      <c r="F152" s="12" t="str">
        <f>VLOOKUP($A152,'DB1'!$C:$Q,15,0)</f>
        <v>Carbon Neutrality and Energy</v>
      </c>
      <c r="G152" s="13">
        <f>VLOOKUP($A152,'DB1'!$C:$Q,9,0)</f>
        <v>45748</v>
      </c>
      <c r="H152" s="13">
        <f>VLOOKUP($A152,'DB1'!$C:$Q,10,0)</f>
        <v>47118</v>
      </c>
    </row>
    <row r="153" spans="1:8" ht="33">
      <c r="A153" s="15" t="s">
        <v>616</v>
      </c>
      <c r="B153" s="12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2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2" t="str">
        <f>VLOOKUP($A153,'DB1'!$C:$Q,14,0)</f>
        <v>Environmental Health</v>
      </c>
      <c r="F153" s="12" t="str">
        <f>VLOOKUP($A153,'DB1'!$C:$Q,15,0)</f>
        <v>Atmospheric Environment</v>
      </c>
      <c r="G153" s="13">
        <f>VLOOKUP($A153,'DB1'!$C:$Q,9,0)</f>
        <v>45748</v>
      </c>
      <c r="H153" s="13">
        <f>VLOOKUP($A153,'DB1'!$C:$Q,10,0)</f>
        <v>46022</v>
      </c>
    </row>
    <row r="154" spans="1:8" ht="33">
      <c r="A154" s="15" t="s">
        <v>681</v>
      </c>
      <c r="B154" s="12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2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2" t="str">
        <f>VLOOKUP($A154,'DB1'!$C:$Q,14,0)</f>
        <v>Land and Urban Environment</v>
      </c>
      <c r="F154" s="12">
        <f>VLOOKUP($A154,'DB1'!$C:$Q,15,0)</f>
        <v>0</v>
      </c>
      <c r="G154" s="13">
        <f>VLOOKUP($A154,'DB1'!$C:$Q,9,0)</f>
        <v>45748</v>
      </c>
      <c r="H154" s="13">
        <f>VLOOKUP($A154,'DB1'!$C:$Q,10,0)</f>
        <v>46022</v>
      </c>
    </row>
    <row r="155" spans="1:8" ht="33">
      <c r="A155" s="15" t="s">
        <v>927</v>
      </c>
      <c r="B155" s="12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2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2" t="str">
        <f>VLOOKUP($A155,'DB1'!$C:$Q,14,0)</f>
        <v>Water Management</v>
      </c>
      <c r="F155" s="12" t="str">
        <f>VLOOKUP($A155,'DB1'!$C:$Q,15,0)</f>
        <v>Climate Adaptation</v>
      </c>
      <c r="G155" s="13">
        <f>VLOOKUP($A155,'DB1'!$C:$Q,9,0)</f>
        <v>45748</v>
      </c>
      <c r="H155" s="13">
        <f>VLOOKUP($A155,'DB1'!$C:$Q,10,0)</f>
        <v>45930</v>
      </c>
    </row>
    <row r="156" spans="1:8" ht="33">
      <c r="A156" s="15" t="s">
        <v>929</v>
      </c>
      <c r="B156" s="12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2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2" t="str">
        <f>VLOOKUP($A156,'DB1'!$C:$Q,14,0)</f>
        <v>Circular Economy</v>
      </c>
      <c r="F156" s="12" t="str">
        <f>VLOOKUP($A156,'DB1'!$C:$Q,15,0)</f>
        <v>Environmental Economics</v>
      </c>
      <c r="G156" s="13">
        <f>VLOOKUP($A156,'DB1'!$C:$Q,9,0)</f>
        <v>45748</v>
      </c>
      <c r="H156" s="13">
        <f>VLOOKUP($A156,'DB1'!$C:$Q,10,0)</f>
        <v>45930</v>
      </c>
    </row>
    <row r="157" spans="1:8" ht="33">
      <c r="A157" s="15" t="s">
        <v>931</v>
      </c>
      <c r="B157" s="12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2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2" t="str">
        <f>VLOOKUP($A157,'DB1'!$C:$Q,14,0)</f>
        <v>Water Management</v>
      </c>
      <c r="F157" s="12" t="str">
        <f>VLOOKUP($A157,'DB1'!$C:$Q,15,0)</f>
        <v>Land and Urban Environment</v>
      </c>
      <c r="G157" s="13">
        <f>VLOOKUP($A157,'DB1'!$C:$Q,9,0)</f>
        <v>45748</v>
      </c>
      <c r="H157" s="13">
        <f>VLOOKUP($A157,'DB1'!$C:$Q,10,0)</f>
        <v>45930</v>
      </c>
    </row>
    <row r="158" spans="1:8" ht="33">
      <c r="A158" s="15" t="s">
        <v>933</v>
      </c>
      <c r="B158" s="12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2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2" t="str">
        <f>VLOOKUP($A158,'DB1'!$C:$Q,14,0)</f>
        <v>Atmospheric Environment</v>
      </c>
      <c r="F158" s="12" t="str">
        <f>VLOOKUP($A158,'DB1'!$C:$Q,15,0)</f>
        <v>Environmental Health</v>
      </c>
      <c r="G158" s="13">
        <f>VLOOKUP($A158,'DB1'!$C:$Q,9,0)</f>
        <v>45748</v>
      </c>
      <c r="H158" s="13">
        <f>VLOOKUP($A158,'DB1'!$C:$Q,10,0)</f>
        <v>45930</v>
      </c>
    </row>
    <row r="159" spans="1:8" ht="33">
      <c r="A159" s="15" t="s">
        <v>517</v>
      </c>
      <c r="B159" s="12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2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2" t="str">
        <f>VLOOKUP($A159,'DB1'!$C:$Q,14,0)</f>
        <v>Land and Urban Environment</v>
      </c>
      <c r="F159" s="12">
        <f>VLOOKUP($A159,'DB1'!$C:$Q,15,0)</f>
        <v>0</v>
      </c>
      <c r="G159" s="13">
        <f>VLOOKUP($A159,'DB1'!$C:$Q,9,0)</f>
        <v>45751</v>
      </c>
      <c r="H159" s="13">
        <f>VLOOKUP($A159,'DB1'!$C:$Q,10,0)</f>
        <v>45991</v>
      </c>
    </row>
    <row r="160" spans="1:8" ht="33">
      <c r="A160" s="15" t="s">
        <v>521</v>
      </c>
      <c r="B160" s="12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2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2" t="str">
        <f>VLOOKUP($A160,'DB1'!$C:$Q,14,0)</f>
        <v>Atmospheric Environment</v>
      </c>
      <c r="F160" s="12">
        <f>VLOOKUP($A160,'DB1'!$C:$Q,15,0)</f>
        <v>0</v>
      </c>
      <c r="G160" s="13">
        <f>VLOOKUP($A160,'DB1'!$C:$Q,9,0)</f>
        <v>45751</v>
      </c>
      <c r="H160" s="13">
        <f>VLOOKUP($A160,'DB1'!$C:$Q,10,0)</f>
        <v>46010</v>
      </c>
    </row>
    <row r="161" spans="1:8" ht="33">
      <c r="A161" s="15" t="s">
        <v>525</v>
      </c>
      <c r="B161" s="12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2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2" t="str">
        <f>VLOOKUP($A161,'DB1'!$C:$Q,14,0)</f>
        <v>Environmental Health</v>
      </c>
      <c r="F161" s="12" t="str">
        <f>VLOOKUP($A161,'DB1'!$C:$Q,15,0)</f>
        <v>Socio-Environmental Interface</v>
      </c>
      <c r="G161" s="13">
        <f>VLOOKUP($A161,'DB1'!$C:$Q,9,0)</f>
        <v>45755</v>
      </c>
      <c r="H161" s="13">
        <f>VLOOKUP($A161,'DB1'!$C:$Q,10,0)</f>
        <v>46056</v>
      </c>
    </row>
    <row r="162" spans="1:8" ht="33">
      <c r="A162" s="15" t="s">
        <v>530</v>
      </c>
      <c r="B162" s="12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2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2" t="str">
        <f>VLOOKUP($A162,'DB1'!$C:$Q,14,0)</f>
        <v>Atmospheric Environment</v>
      </c>
      <c r="F162" s="12">
        <f>VLOOKUP($A162,'DB1'!$C:$Q,15,0)</f>
        <v>0</v>
      </c>
      <c r="G162" s="13">
        <f>VLOOKUP($A162,'DB1'!$C:$Q,9,0)</f>
        <v>45755</v>
      </c>
      <c r="H162" s="13">
        <f>VLOOKUP($A162,'DB1'!$C:$Q,10,0)</f>
        <v>46025</v>
      </c>
    </row>
    <row r="163" spans="1:8" ht="33">
      <c r="A163" s="15" t="s">
        <v>538</v>
      </c>
      <c r="B163" s="12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2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2" t="str">
        <f>VLOOKUP($A163,'DB1'!$C:$Q,14,0)</f>
        <v>Marine Environment</v>
      </c>
      <c r="F163" s="12">
        <f>VLOOKUP($A163,'DB1'!$C:$Q,15,0)</f>
        <v>0</v>
      </c>
      <c r="G163" s="13">
        <f>VLOOKUP($A163,'DB1'!$C:$Q,9,0)</f>
        <v>45756</v>
      </c>
      <c r="H163" s="13">
        <f>VLOOKUP($A163,'DB1'!$C:$Q,10,0)</f>
        <v>45935</v>
      </c>
    </row>
    <row r="164" spans="1:8" ht="33">
      <c r="A164" s="15" t="s">
        <v>550</v>
      </c>
      <c r="B164" s="12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2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2" t="str">
        <f>VLOOKUP($A164,'DB1'!$C:$Q,14,0)</f>
        <v>Water Management</v>
      </c>
      <c r="F164" s="12" t="str">
        <f>VLOOKUP($A164,'DB1'!$C:$Q,15,0)</f>
        <v>Environmental Economics</v>
      </c>
      <c r="G164" s="13">
        <f>VLOOKUP($A164,'DB1'!$C:$Q,9,0)</f>
        <v>45757</v>
      </c>
      <c r="H164" s="13">
        <f>VLOOKUP($A164,'DB1'!$C:$Q,10,0)</f>
        <v>45996</v>
      </c>
    </row>
    <row r="165" spans="1:8" ht="33">
      <c r="A165" s="15" t="s">
        <v>554</v>
      </c>
      <c r="B165" s="12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2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2" t="str">
        <f>VLOOKUP($A165,'DB1'!$C:$Q,14,0)</f>
        <v>Environmental Economics</v>
      </c>
      <c r="F165" s="12">
        <f>VLOOKUP($A165,'DB1'!$C:$Q,15,0)</f>
        <v>0</v>
      </c>
      <c r="G165" s="13">
        <f>VLOOKUP($A165,'DB1'!$C:$Q,9,0)</f>
        <v>45757</v>
      </c>
      <c r="H165" s="13">
        <f>VLOOKUP($A165,'DB1'!$C:$Q,10,0)</f>
        <v>45999</v>
      </c>
    </row>
    <row r="166" spans="1:8" ht="33">
      <c r="A166" s="15" t="s">
        <v>559</v>
      </c>
      <c r="B166" s="12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2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2" t="str">
        <f>VLOOKUP($A166,'DB1'!$C:$Q,14,0)</f>
        <v>Circular Economy</v>
      </c>
      <c r="F166" s="12">
        <f>VLOOKUP($A166,'DB1'!$C:$Q,15,0)</f>
        <v>0</v>
      </c>
      <c r="G166" s="13">
        <f>VLOOKUP($A166,'DB1'!$C:$Q,9,0)</f>
        <v>45761</v>
      </c>
      <c r="H166" s="13">
        <f>VLOOKUP($A166,'DB1'!$C:$Q,10,0)</f>
        <v>46030</v>
      </c>
    </row>
    <row r="167" spans="1:8" ht="33">
      <c r="A167" s="15" t="s">
        <v>563</v>
      </c>
      <c r="B167" s="12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2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2" t="str">
        <f>VLOOKUP($A167,'DB1'!$C:$Q,14,0)</f>
        <v>Ecology</v>
      </c>
      <c r="F167" s="12" t="str">
        <f>VLOOKUP($A167,'DB1'!$C:$Q,15,0)</f>
        <v>Land and Urban Environment</v>
      </c>
      <c r="G167" s="13">
        <f>VLOOKUP($A167,'DB1'!$C:$Q,9,0)</f>
        <v>45762</v>
      </c>
      <c r="H167" s="13">
        <f>VLOOKUP($A167,'DB1'!$C:$Q,10,0)</f>
        <v>46061</v>
      </c>
    </row>
    <row r="168" spans="1:8" ht="33">
      <c r="A168" s="15" t="s">
        <v>567</v>
      </c>
      <c r="B168" s="12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2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2" t="str">
        <f>VLOOKUP($A168,'DB1'!$C:$Q,14,0)</f>
        <v>Socio-Environmental Interface</v>
      </c>
      <c r="F168" s="12" t="str">
        <f>VLOOKUP($A168,'DB1'!$C:$Q,15,0)</f>
        <v>AI and Environmental Informatics</v>
      </c>
      <c r="G168" s="13">
        <f>VLOOKUP($A168,'DB1'!$C:$Q,9,0)</f>
        <v>45764</v>
      </c>
      <c r="H168" s="13">
        <f>VLOOKUP($A168,'DB1'!$C:$Q,10,0)</f>
        <v>46003</v>
      </c>
    </row>
    <row r="169" spans="1:8" ht="33">
      <c r="A169" s="15" t="s">
        <v>573</v>
      </c>
      <c r="B169" s="12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2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2" t="str">
        <f>VLOOKUP($A169,'DB1'!$C:$Q,14,0)</f>
        <v>Environmental Health</v>
      </c>
      <c r="F169" s="12" t="str">
        <f>VLOOKUP($A169,'DB1'!$C:$Q,15,0)</f>
        <v>Socio-Environmental Interface</v>
      </c>
      <c r="G169" s="13">
        <f>VLOOKUP($A169,'DB1'!$C:$Q,9,0)</f>
        <v>45765</v>
      </c>
      <c r="H169" s="13">
        <f>VLOOKUP($A169,'DB1'!$C:$Q,10,0)</f>
        <v>46065</v>
      </c>
    </row>
    <row r="170" spans="1:8" ht="33">
      <c r="A170" s="15" t="s">
        <v>575</v>
      </c>
      <c r="B170" s="12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2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2" t="str">
        <f>VLOOKUP($A170,'DB1'!$C:$Q,14,0)</f>
        <v>Atmospheric Environment</v>
      </c>
      <c r="F170" s="12">
        <f>VLOOKUP($A170,'DB1'!$C:$Q,15,0)</f>
        <v>0</v>
      </c>
      <c r="G170" s="13">
        <f>VLOOKUP($A170,'DB1'!$C:$Q,9,0)</f>
        <v>45770</v>
      </c>
      <c r="H170" s="13">
        <f>VLOOKUP($A170,'DB1'!$C:$Q,10,0)</f>
        <v>46001</v>
      </c>
    </row>
    <row r="171" spans="1:8" ht="33">
      <c r="A171" s="15" t="s">
        <v>579</v>
      </c>
      <c r="B171" s="12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2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2" t="str">
        <f>VLOOKUP($A171,'DB1'!$C:$Q,14,0)</f>
        <v>Environmental Assessment</v>
      </c>
      <c r="F171" s="12" t="str">
        <f>VLOOKUP($A171,'DB1'!$C:$Q,15,0)</f>
        <v>Environmental Health</v>
      </c>
      <c r="G171" s="13">
        <f>VLOOKUP($A171,'DB1'!$C:$Q,9,0)</f>
        <v>45770</v>
      </c>
      <c r="H171" s="13">
        <f>VLOOKUP($A171,'DB1'!$C:$Q,10,0)</f>
        <v>45991</v>
      </c>
    </row>
    <row r="172" spans="1:8" ht="33">
      <c r="A172" s="15" t="s">
        <v>584</v>
      </c>
      <c r="B172" s="12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2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2" t="str">
        <f>VLOOKUP($A172,'DB1'!$C:$Q,14,0)</f>
        <v>Water Management</v>
      </c>
      <c r="F172" s="12" t="str">
        <f>VLOOKUP($A172,'DB1'!$C:$Q,15,0)</f>
        <v>Circular Economy</v>
      </c>
      <c r="G172" s="13">
        <f>VLOOKUP($A172,'DB1'!$C:$Q,9,0)</f>
        <v>45770</v>
      </c>
      <c r="H172" s="13">
        <f>VLOOKUP($A172,'DB1'!$C:$Q,10,0)</f>
        <v>45979</v>
      </c>
    </row>
    <row r="173" spans="1:8" ht="33">
      <c r="A173" s="15" t="s">
        <v>588</v>
      </c>
      <c r="B173" s="12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2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2" t="str">
        <f>VLOOKUP($A173,'DB1'!$C:$Q,14,0)</f>
        <v>Atmospheric Environment</v>
      </c>
      <c r="F173" s="12">
        <f>VLOOKUP($A173,'DB1'!$C:$Q,15,0)</f>
        <v>0</v>
      </c>
      <c r="G173" s="13">
        <f>VLOOKUP($A173,'DB1'!$C:$Q,9,0)</f>
        <v>45772</v>
      </c>
      <c r="H173" s="13">
        <f>VLOOKUP($A173,'DB1'!$C:$Q,10,0)</f>
        <v>45982</v>
      </c>
    </row>
    <row r="174" spans="1:8" ht="33">
      <c r="A174" s="29" t="s">
        <v>591</v>
      </c>
      <c r="B174" s="12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2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2" t="str">
        <f>VLOOKUP($A174,'DB1'!$C:$Q,14,0)</f>
        <v>Land and Urban Environment</v>
      </c>
      <c r="F174" s="12">
        <f>VLOOKUP($A174,'DB1'!$C:$Q,15,0)</f>
        <v>0</v>
      </c>
      <c r="G174" s="13">
        <f>VLOOKUP($A174,'DB1'!$C:$Q,9,0)</f>
        <v>45776</v>
      </c>
      <c r="H174" s="13">
        <f>VLOOKUP($A174,'DB1'!$C:$Q,10,0)</f>
        <v>46112</v>
      </c>
    </row>
    <row r="175" spans="1:8" ht="33">
      <c r="A175" s="15" t="s">
        <v>884</v>
      </c>
      <c r="B175" s="12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2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2" t="str">
        <f>VLOOKUP($A175,'DB1'!$C:$Q,14,0)</f>
        <v>AI and Environmental Informatics</v>
      </c>
      <c r="F175" s="12">
        <f>VLOOKUP($A175,'DB1'!$C:$Q,15,0)</f>
        <v>0</v>
      </c>
      <c r="G175" s="13">
        <f>VLOOKUP($A175,'DB1'!$C:$Q,9,0)</f>
        <v>45778</v>
      </c>
      <c r="H175" s="13">
        <f>VLOOKUP($A175,'DB1'!$C:$Q,10,0)</f>
        <v>46142</v>
      </c>
    </row>
    <row r="176" spans="1:8" ht="49.5">
      <c r="A176" s="15" t="s">
        <v>890</v>
      </c>
      <c r="B176" s="12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2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2" t="str">
        <f>VLOOKUP($A176,'DB1'!$C:$Q,14,0)</f>
        <v>International Environmental Collaboration</v>
      </c>
      <c r="F176" s="12">
        <f>VLOOKUP($A176,'DB1'!$C:$Q,15,0)</f>
        <v>0</v>
      </c>
      <c r="G176" s="13">
        <f>VLOOKUP($A176,'DB1'!$C:$Q,9,0)</f>
        <v>45778</v>
      </c>
      <c r="H176" s="13">
        <f>VLOOKUP($A176,'DB1'!$C:$Q,10,0)</f>
        <v>46142</v>
      </c>
    </row>
    <row r="177" spans="1:8" ht="33">
      <c r="A177" s="15" t="s">
        <v>934</v>
      </c>
      <c r="B177" s="12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2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2" t="str">
        <f>VLOOKUP($A177,'DB1'!$C:$Q,14,0)</f>
        <v>Environmental Assessment</v>
      </c>
      <c r="F177" s="12" t="str">
        <f>VLOOKUP($A177,'DB1'!$C:$Q,15,0)</f>
        <v>Ecology</v>
      </c>
      <c r="G177" s="13">
        <f>VLOOKUP($A177,'DB1'!$C:$Q,9,0)</f>
        <v>45778</v>
      </c>
      <c r="H177" s="13">
        <f>VLOOKUP($A177,'DB1'!$C:$Q,10,0)</f>
        <v>45961</v>
      </c>
    </row>
    <row r="178" spans="1:8" ht="33">
      <c r="A178" s="15" t="s">
        <v>936</v>
      </c>
      <c r="B178" s="12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2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2" t="str">
        <f>VLOOKUP($A178,'DB1'!$C:$Q,14,0)</f>
        <v>Sustainable Development</v>
      </c>
      <c r="F178" s="12" t="str">
        <f>VLOOKUP($A178,'DB1'!$C:$Q,15,0)</f>
        <v>AI and Environmental Informatics</v>
      </c>
      <c r="G178" s="13">
        <f>VLOOKUP($A178,'DB1'!$C:$Q,9,0)</f>
        <v>45778</v>
      </c>
      <c r="H178" s="13">
        <f>VLOOKUP($A178,'DB1'!$C:$Q,10,0)</f>
        <v>46142</v>
      </c>
    </row>
    <row r="179" spans="1:8" ht="33">
      <c r="A179" s="15" t="s">
        <v>938</v>
      </c>
      <c r="B179" s="12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2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2" t="str">
        <f>VLOOKUP($A179,'DB1'!$C:$Q,14,0)</f>
        <v>Environmental Economics</v>
      </c>
      <c r="F179" s="12" t="str">
        <f>VLOOKUP($A179,'DB1'!$C:$Q,15,0)</f>
        <v>Carbon Neutrality and Energy</v>
      </c>
      <c r="G179" s="13">
        <f>VLOOKUP($A179,'DB1'!$C:$Q,9,0)</f>
        <v>45778</v>
      </c>
      <c r="H179" s="13">
        <f>VLOOKUP($A179,'DB1'!$C:$Q,10,0)</f>
        <v>46142</v>
      </c>
    </row>
    <row r="180" spans="1:8" ht="33">
      <c r="A180" s="15" t="s">
        <v>942</v>
      </c>
      <c r="B180" s="12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2" t="str">
        <f>VLOOKUP($A180,'DB1'!$C:$Q,12,0)</f>
        <v>Strategies for the Integration of Climate Measures into Spatial Planning</v>
      </c>
      <c r="D180" s="11" t="str">
        <f>VLOOKUP($A180,'DB1'!$C:$Q,13,0)</f>
        <v xml:space="preserve">Song, Jiyoon </v>
      </c>
      <c r="E180" s="12" t="str">
        <f>VLOOKUP($A180,'DB1'!$C:$Q,14,0)</f>
        <v>Land and Urban Environment</v>
      </c>
      <c r="F180" s="12" t="str">
        <f>VLOOKUP($A180,'DB1'!$C:$Q,15,0)</f>
        <v>Climate Adaptation</v>
      </c>
      <c r="G180" s="13">
        <f>VLOOKUP($A180,'DB1'!$C:$Q,9,0)</f>
        <v>45778</v>
      </c>
      <c r="H180" s="13">
        <f>VLOOKUP($A180,'DB1'!$C:$Q,10,0)</f>
        <v>46142</v>
      </c>
    </row>
    <row r="181" spans="1:8" ht="33">
      <c r="A181" s="15" t="s">
        <v>944</v>
      </c>
      <c r="B181" s="12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2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2" t="str">
        <f>VLOOKUP($A181,'DB1'!$C:$Q,14,0)</f>
        <v>Water Management</v>
      </c>
      <c r="F181" s="12" t="str">
        <f>VLOOKUP($A181,'DB1'!$C:$Q,15,0)</f>
        <v>Environmental Assessment</v>
      </c>
      <c r="G181" s="13">
        <f>VLOOKUP($A181,'DB1'!$C:$Q,9,0)</f>
        <v>45778</v>
      </c>
      <c r="H181" s="13">
        <f>VLOOKUP($A181,'DB1'!$C:$Q,10,0)</f>
        <v>46142</v>
      </c>
    </row>
    <row r="182" spans="1:8" ht="33">
      <c r="A182" s="15" t="s">
        <v>948</v>
      </c>
      <c r="B182" s="12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2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2" t="str">
        <f>VLOOKUP($A182,'DB1'!$C:$Q,14,0)</f>
        <v>Marine Environment</v>
      </c>
      <c r="F182" s="12" t="str">
        <f>VLOOKUP($A182,'DB1'!$C:$Q,15,0)</f>
        <v>Land and Urban Environment</v>
      </c>
      <c r="G182" s="13">
        <f>VLOOKUP($A182,'DB1'!$C:$Q,9,0)</f>
        <v>45778</v>
      </c>
      <c r="H182" s="13">
        <f>VLOOKUP($A182,'DB1'!$C:$Q,10,0)</f>
        <v>46142</v>
      </c>
    </row>
    <row r="183" spans="1:8" ht="33">
      <c r="A183" s="15" t="s">
        <v>601</v>
      </c>
      <c r="B183" s="12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2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2" t="str">
        <f>VLOOKUP($A183,'DB1'!$C:$Q,14,0)</f>
        <v>Land and Urban Environment</v>
      </c>
      <c r="F183" s="12">
        <f>VLOOKUP($A183,'DB1'!$C:$Q,15,0)</f>
        <v>0</v>
      </c>
      <c r="G183" s="13">
        <f>VLOOKUP($A183,'DB1'!$C:$Q,9,0)</f>
        <v>45789</v>
      </c>
      <c r="H183" s="13">
        <f>VLOOKUP($A183,'DB1'!$C:$Q,10,0)</f>
        <v>46001</v>
      </c>
    </row>
    <row r="184" spans="1:8" ht="33">
      <c r="A184" s="15" t="s">
        <v>605</v>
      </c>
      <c r="B184" s="12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2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2" t="str">
        <f>VLOOKUP($A184,'DB1'!$C:$Q,14,0)</f>
        <v>Water Management</v>
      </c>
      <c r="F184" s="12" t="str">
        <f>VLOOKUP($A184,'DB1'!$C:$Q,15,0)</f>
        <v>Environmental Health</v>
      </c>
      <c r="G184" s="13">
        <f>VLOOKUP($A184,'DB1'!$C:$Q,9,0)</f>
        <v>45789</v>
      </c>
      <c r="H184" s="13">
        <f>VLOOKUP($A184,'DB1'!$C:$Q,10,0)</f>
        <v>45989</v>
      </c>
    </row>
    <row r="185" spans="1:8" ht="49.5">
      <c r="A185" s="15" t="s">
        <v>607</v>
      </c>
      <c r="B185" s="12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2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2" t="str">
        <f>VLOOKUP($A185,'DB1'!$C:$Q,14,0)</f>
        <v>Water Management</v>
      </c>
      <c r="F185" s="12" t="str">
        <f>VLOOKUP($A185,'DB1'!$C:$Q,15,0)</f>
        <v>International Environmental Collaboration</v>
      </c>
      <c r="G185" s="13">
        <f>VLOOKUP($A185,'DB1'!$C:$Q,9,0)</f>
        <v>45790</v>
      </c>
      <c r="H185" s="13">
        <f>VLOOKUP($A185,'DB1'!$C:$Q,10,0)</f>
        <v>46154</v>
      </c>
    </row>
    <row r="186" spans="1:8" ht="33">
      <c r="A186" s="29" t="s">
        <v>609</v>
      </c>
      <c r="B186" s="12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2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2" t="str">
        <f>VLOOKUP($A186,'DB1'!$C:$Q,14,0)</f>
        <v>Land and Urban Environment</v>
      </c>
      <c r="F186" s="12" t="str">
        <f>VLOOKUP($A186,'DB1'!$C:$Q,15,0)</f>
        <v>Ecology</v>
      </c>
      <c r="G186" s="13">
        <f>VLOOKUP($A186,'DB1'!$C:$Q,9,0)</f>
        <v>45790</v>
      </c>
      <c r="H186" s="13">
        <f>VLOOKUP($A186,'DB1'!$C:$Q,10,0)</f>
        <v>46211</v>
      </c>
    </row>
    <row r="187" spans="1:8" ht="33">
      <c r="A187" s="15" t="s">
        <v>611</v>
      </c>
      <c r="B187" s="12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2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2" t="str">
        <f>VLOOKUP($A187,'DB1'!$C:$Q,14,0)</f>
        <v>Environmental Economics</v>
      </c>
      <c r="F187" s="12">
        <f>VLOOKUP($A187,'DB1'!$C:$Q,15,0)</f>
        <v>0</v>
      </c>
      <c r="G187" s="13">
        <f>VLOOKUP($A187,'DB1'!$C:$Q,9,0)</f>
        <v>45790</v>
      </c>
      <c r="H187" s="13">
        <f>VLOOKUP($A187,'DB1'!$C:$Q,10,0)</f>
        <v>46154</v>
      </c>
    </row>
    <row r="188" spans="1:8" ht="49.5">
      <c r="A188" s="15" t="s">
        <v>613</v>
      </c>
      <c r="B188" s="12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2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2" t="str">
        <f>VLOOKUP($A188,'DB1'!$C:$Q,14,0)</f>
        <v>Water Management</v>
      </c>
      <c r="F188" s="12" t="str">
        <f>VLOOKUP($A188,'DB1'!$C:$Q,15,0)</f>
        <v>International Environmental Collaboration</v>
      </c>
      <c r="G188" s="13">
        <f>VLOOKUP($A188,'DB1'!$C:$Q,9,0)</f>
        <v>45790</v>
      </c>
      <c r="H188" s="13">
        <f>VLOOKUP($A188,'DB1'!$C:$Q,10,0)</f>
        <v>46154</v>
      </c>
    </row>
    <row r="189" spans="1:8" ht="33">
      <c r="A189" s="15" t="s">
        <v>623</v>
      </c>
      <c r="B189" s="12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2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2" t="str">
        <f>VLOOKUP($A189,'DB1'!$C:$Q,14,0)</f>
        <v>Land and Urban Environment</v>
      </c>
      <c r="F189" s="12" t="str">
        <f>VLOOKUP($A189,'DB1'!$C:$Q,15,0)</f>
        <v>Ecology</v>
      </c>
      <c r="G189" s="13">
        <f>VLOOKUP($A189,'DB1'!$C:$Q,9,0)</f>
        <v>45793</v>
      </c>
      <c r="H189" s="13">
        <f>VLOOKUP($A189,'DB1'!$C:$Q,10,0)</f>
        <v>46157</v>
      </c>
    </row>
    <row r="190" spans="1:8" ht="33">
      <c r="A190" s="15" t="s">
        <v>620</v>
      </c>
      <c r="B190" s="12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2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2" t="str">
        <f>VLOOKUP($A190,'DB1'!$C:$Q,14,0)</f>
        <v>Circular Economy</v>
      </c>
      <c r="F190" s="12" t="str">
        <f>VLOOKUP($A190,'DB1'!$C:$Q,15,0)</f>
        <v>Sustainable Development</v>
      </c>
      <c r="G190" s="13">
        <f>VLOOKUP($A190,'DB1'!$C:$Q,9,0)</f>
        <v>45796</v>
      </c>
      <c r="H190" s="13">
        <f>VLOOKUP($A190,'DB1'!$C:$Q,10,0)</f>
        <v>46035</v>
      </c>
    </row>
    <row r="191" spans="1:8" ht="49.5">
      <c r="A191" s="15" t="s">
        <v>626</v>
      </c>
      <c r="B191" s="12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2" t="str">
        <f>VLOOKUP($A191,'DB1'!$C:$Q,12,0)</f>
        <v>Strategic Responses to the 2025 OECD IFCMA and Climate Club Discussions</v>
      </c>
      <c r="D191" s="11" t="str">
        <f>VLOOKUP($A191,'DB1'!$C:$Q,13,0)</f>
        <v xml:space="preserve">Moon, Jongwoo </v>
      </c>
      <c r="E191" s="12" t="str">
        <f>VLOOKUP($A191,'DB1'!$C:$Q,14,0)</f>
        <v>Carbon Neutrality and Energy</v>
      </c>
      <c r="F191" s="12" t="str">
        <f>VLOOKUP($A191,'DB1'!$C:$Q,15,0)</f>
        <v>International Environmental Collaboration</v>
      </c>
      <c r="G191" s="13">
        <f>VLOOKUP($A191,'DB1'!$C:$Q,9,0)</f>
        <v>45800</v>
      </c>
      <c r="H191" s="13">
        <f>VLOOKUP($A191,'DB1'!$C:$Q,10,0)</f>
        <v>46022</v>
      </c>
    </row>
    <row r="192" spans="1:8" ht="33">
      <c r="A192" s="15" t="s">
        <v>629</v>
      </c>
      <c r="B192" s="12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2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2" t="str">
        <f>VLOOKUP($A192,'DB1'!$C:$Q,14,0)</f>
        <v>Water Management</v>
      </c>
      <c r="F192" s="12" t="str">
        <f>VLOOKUP($A192,'DB1'!$C:$Q,15,0)</f>
        <v>Socio-Environmental Interface</v>
      </c>
      <c r="G192" s="13">
        <f>VLOOKUP($A192,'DB1'!$C:$Q,9,0)</f>
        <v>45803</v>
      </c>
      <c r="H192" s="13">
        <f>VLOOKUP($A192,'DB1'!$C:$Q,10,0)</f>
        <v>45952</v>
      </c>
    </row>
    <row r="193" spans="1:8" ht="33">
      <c r="A193" s="15" t="s">
        <v>633</v>
      </c>
      <c r="B193" s="12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2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2" t="str">
        <f>VLOOKUP($A193,'DB1'!$C:$Q,14,0)</f>
        <v>Sustainable Development</v>
      </c>
      <c r="F193" s="12">
        <f>VLOOKUP($A193,'DB1'!$C:$Q,15,0)</f>
        <v>0</v>
      </c>
      <c r="G193" s="13">
        <f>VLOOKUP($A193,'DB1'!$C:$Q,9,0)</f>
        <v>45803</v>
      </c>
      <c r="H193" s="13">
        <f>VLOOKUP($A193,'DB1'!$C:$Q,10,0)</f>
        <v>45991</v>
      </c>
    </row>
    <row r="194" spans="1:8" ht="33">
      <c r="A194" s="15" t="s">
        <v>636</v>
      </c>
      <c r="B194" s="12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2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2" t="str">
        <f>VLOOKUP($A194,'DB1'!$C:$Q,14,0)</f>
        <v>Environmental Economics</v>
      </c>
      <c r="F194" s="12">
        <f>VLOOKUP($A194,'DB1'!$C:$Q,15,0)</f>
        <v>0</v>
      </c>
      <c r="G194" s="13">
        <f>VLOOKUP($A194,'DB1'!$C:$Q,9,0)</f>
        <v>45806</v>
      </c>
      <c r="H194" s="13">
        <f>VLOOKUP($A194,'DB1'!$C:$Q,10,0)</f>
        <v>45960</v>
      </c>
    </row>
    <row r="195" spans="1:8" ht="33">
      <c r="A195" s="15" t="s">
        <v>648</v>
      </c>
      <c r="B195" s="12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2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2" t="str">
        <f>VLOOKUP($A195,'DB1'!$C:$Q,14,0)</f>
        <v>Water Management</v>
      </c>
      <c r="F195" s="12">
        <f>VLOOKUP($A195,'DB1'!$C:$Q,15,0)</f>
        <v>0</v>
      </c>
      <c r="G195" s="13">
        <f>VLOOKUP($A195,'DB1'!$C:$Q,9,0)</f>
        <v>45809</v>
      </c>
      <c r="H195" s="13">
        <f>VLOOKUP($A195,'DB1'!$C:$Q,10,0)</f>
        <v>46022</v>
      </c>
    </row>
    <row r="196" spans="1:8" ht="33">
      <c r="A196" s="15" t="s">
        <v>776</v>
      </c>
      <c r="B196" s="12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2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2" t="str">
        <f>VLOOKUP($A196,'DB1'!$C:$Q,14,0)</f>
        <v>Environmental Assessment</v>
      </c>
      <c r="F196" s="12" t="str">
        <f>VLOOKUP($A196,'DB1'!$C:$Q,15,0)</f>
        <v>Ecology</v>
      </c>
      <c r="G196" s="13">
        <f>VLOOKUP($A196,'DB1'!$C:$Q,9,0)</f>
        <v>45810</v>
      </c>
      <c r="H196" s="13">
        <f>VLOOKUP($A196,'DB1'!$C:$Q,10,0)</f>
        <v>45992</v>
      </c>
    </row>
    <row r="197" spans="1:8" ht="33">
      <c r="A197" s="15" t="s">
        <v>780</v>
      </c>
      <c r="B197" s="12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2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2" t="str">
        <f>VLOOKUP($A197,'DB1'!$C:$Q,14,0)</f>
        <v>AI and Environmental Informatics</v>
      </c>
      <c r="F197" s="12" t="str">
        <f>VLOOKUP($A197,'DB1'!$C:$Q,15,0)</f>
        <v>Ecology</v>
      </c>
      <c r="G197" s="13">
        <f>VLOOKUP($A197,'DB1'!$C:$Q,9,0)</f>
        <v>45810</v>
      </c>
      <c r="H197" s="13">
        <f>VLOOKUP($A197,'DB1'!$C:$Q,10,0)</f>
        <v>45992</v>
      </c>
    </row>
    <row r="198" spans="1:8" ht="33">
      <c r="A198" s="15" t="s">
        <v>639</v>
      </c>
      <c r="B198" s="12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2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2" t="str">
        <f>VLOOKUP($A198,'DB1'!$C:$Q,14,0)</f>
        <v>Land and Urban Environment</v>
      </c>
      <c r="F198" s="12" t="str">
        <f>VLOOKUP($A198,'DB1'!$C:$Q,15,0)</f>
        <v>Water Management</v>
      </c>
      <c r="G198" s="13">
        <f>VLOOKUP($A198,'DB1'!$C:$Q,9,0)</f>
        <v>45820</v>
      </c>
      <c r="H198" s="13">
        <f>VLOOKUP($A198,'DB1'!$C:$Q,10,0)</f>
        <v>46184</v>
      </c>
    </row>
    <row r="199" spans="1:8" ht="33">
      <c r="A199" s="15" t="s">
        <v>644</v>
      </c>
      <c r="B199" s="12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2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2" t="str">
        <f>VLOOKUP($A199,'DB1'!$C:$Q,14,0)</f>
        <v>Ecology</v>
      </c>
      <c r="F199" s="12" t="str">
        <f>VLOOKUP($A199,'DB1'!$C:$Q,15,0)</f>
        <v>Environmental Economics</v>
      </c>
      <c r="G199" s="13">
        <f>VLOOKUP($A199,'DB1'!$C:$Q,9,0)</f>
        <v>45821</v>
      </c>
      <c r="H199" s="13">
        <f>VLOOKUP($A199,'DB1'!$C:$Q,10,0)</f>
        <v>46064</v>
      </c>
    </row>
    <row r="200" spans="1:8" ht="49.5">
      <c r="A200" s="15" t="s">
        <v>666</v>
      </c>
      <c r="B200" s="12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2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2" t="str">
        <f>VLOOKUP($A200,'DB1'!$C:$Q,14,0)</f>
        <v>Carbon Neutrality and Energy</v>
      </c>
      <c r="F200" s="12" t="str">
        <f>VLOOKUP($A200,'DB1'!$C:$Q,15,0)</f>
        <v>International Environmental Collaboration</v>
      </c>
      <c r="G200" s="13">
        <f>VLOOKUP($A200,'DB1'!$C:$Q,9,0)</f>
        <v>45825</v>
      </c>
      <c r="H200" s="13">
        <f>VLOOKUP($A200,'DB1'!$C:$Q,10,0)</f>
        <v>45981</v>
      </c>
    </row>
    <row r="201" spans="1:8" ht="33">
      <c r="A201" s="15" t="s">
        <v>651</v>
      </c>
      <c r="B201" s="12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2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2" t="str">
        <f>VLOOKUP($A201,'DB1'!$C:$Q,14,0)</f>
        <v>Water Management</v>
      </c>
      <c r="F201" s="12">
        <f>VLOOKUP($A201,'DB1'!$C:$Q,15,0)</f>
        <v>0</v>
      </c>
      <c r="G201" s="13">
        <f>VLOOKUP($A201,'DB1'!$C:$Q,9,0)</f>
        <v>45831</v>
      </c>
      <c r="H201" s="13">
        <f>VLOOKUP($A201,'DB1'!$C:$Q,10,0)</f>
        <v>46071</v>
      </c>
    </row>
    <row r="202" spans="1:8" ht="33">
      <c r="A202" s="29" t="s">
        <v>654</v>
      </c>
      <c r="B202" s="12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2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2" t="str">
        <f>VLOOKUP($A202,'DB1'!$C:$Q,14,0)</f>
        <v>Circular Economy</v>
      </c>
      <c r="F202" s="12">
        <f>VLOOKUP($A202,'DB1'!$C:$Q,15,0)</f>
        <v>0</v>
      </c>
      <c r="G202" s="13">
        <f>VLOOKUP($A202,'DB1'!$C:$Q,9,0)</f>
        <v>45835</v>
      </c>
      <c r="H202" s="13">
        <f>VLOOKUP($A202,'DB1'!$C:$Q,10,0)</f>
        <v>46163</v>
      </c>
    </row>
    <row r="203" spans="1:8" ht="33">
      <c r="A203" s="29" t="s">
        <v>660</v>
      </c>
      <c r="B203" s="12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2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2" t="str">
        <f>VLOOKUP($A203,'DB1'!$C:$Q,14,0)</f>
        <v>Water Management</v>
      </c>
      <c r="F203" s="12">
        <f>VLOOKUP($A203,'DB1'!$C:$Q,15,0)</f>
        <v>0</v>
      </c>
      <c r="G203" s="13">
        <f>VLOOKUP($A203,'DB1'!$C:$Q,9,0)</f>
        <v>45835</v>
      </c>
      <c r="H203" s="13">
        <f>VLOOKUP($A203,'DB1'!$C:$Q,10,0)</f>
        <v>46053</v>
      </c>
    </row>
    <row r="204" spans="1:8" ht="33">
      <c r="A204" s="15" t="s">
        <v>663</v>
      </c>
      <c r="B204" s="12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2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2" t="str">
        <f>VLOOKUP($A204,'DB1'!$C:$Q,14,0)</f>
        <v>Ecology</v>
      </c>
      <c r="F204" s="12" t="str">
        <f>VLOOKUP($A204,'DB1'!$C:$Q,15,0)</f>
        <v>Socio-Environmental Interface</v>
      </c>
      <c r="G204" s="13">
        <f>VLOOKUP($A204,'DB1'!$C:$Q,9,0)</f>
        <v>45838</v>
      </c>
      <c r="H204" s="13">
        <f>VLOOKUP($A204,'DB1'!$C:$Q,10,0)</f>
        <v>46148</v>
      </c>
    </row>
    <row r="205" spans="1:8" ht="33">
      <c r="A205" s="15" t="s">
        <v>963</v>
      </c>
      <c r="B205" s="12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2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2" t="str">
        <f>VLOOKUP($A205,'DB1'!$C:$Q,14,0)</f>
        <v>Water Management</v>
      </c>
      <c r="F205" s="12" t="str">
        <f>VLOOKUP($A205,'DB1'!$C:$Q,15,0)</f>
        <v>Environmental Economics</v>
      </c>
      <c r="G205" s="13">
        <f>VLOOKUP($A205,'DB1'!$C:$Q,9,0)</f>
        <v>45839</v>
      </c>
      <c r="H205" s="13">
        <f>VLOOKUP($A205,'DB1'!$C:$Q,10,0)</f>
        <v>46022</v>
      </c>
    </row>
    <row r="206" spans="1:8">
      <c r="A206" s="15" t="s">
        <v>964</v>
      </c>
      <c r="B206" s="12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2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2" t="str">
        <f>VLOOKUP($A206,'DB1'!$C:$Q,14,0)</f>
        <v>Water Management</v>
      </c>
      <c r="F206" s="12">
        <f>VLOOKUP($A206,'DB1'!$C:$Q,15,0)</f>
        <v>0</v>
      </c>
      <c r="G206" s="13">
        <f>VLOOKUP($A206,'DB1'!$C:$Q,9,0)</f>
        <v>45839</v>
      </c>
      <c r="H206" s="13">
        <f>VLOOKUP($A206,'DB1'!$C:$Q,10,0)</f>
        <v>46022</v>
      </c>
    </row>
    <row r="207" spans="1:8" ht="33">
      <c r="A207" s="15" t="s">
        <v>965</v>
      </c>
      <c r="B207" s="12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2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2" t="str">
        <f>VLOOKUP($A207,'DB1'!$C:$Q,14,0)</f>
        <v>Socio-Environmental Interface</v>
      </c>
      <c r="F207" s="12" t="str">
        <f>VLOOKUP($A207,'DB1'!$C:$Q,15,0)</f>
        <v>Carbon Neutrality and Energy</v>
      </c>
      <c r="G207" s="13">
        <f>VLOOKUP($A207,'DB1'!$C:$Q,9,0)</f>
        <v>45839</v>
      </c>
      <c r="H207" s="13">
        <f>VLOOKUP($A207,'DB1'!$C:$Q,10,0)</f>
        <v>46022</v>
      </c>
    </row>
    <row r="208" spans="1:8" ht="33">
      <c r="A208" s="15" t="s">
        <v>670</v>
      </c>
      <c r="B208" s="12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2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2" t="str">
        <f>VLOOKUP($A208,'DB1'!$C:$Q,14,0)</f>
        <v>Carbon Neutrality and Energy</v>
      </c>
      <c r="F208" s="12" t="str">
        <f>VLOOKUP($A208,'DB1'!$C:$Q,15,0)</f>
        <v>Environmental Economics</v>
      </c>
      <c r="G208" s="13">
        <f>VLOOKUP($A208,'DB1'!$C:$Q,9,0)</f>
        <v>45841</v>
      </c>
      <c r="H208" s="13">
        <f>VLOOKUP($A208,'DB1'!$C:$Q,10,0)</f>
        <v>46020</v>
      </c>
    </row>
    <row r="209" spans="1:8" ht="33">
      <c r="A209" s="15" t="s">
        <v>673</v>
      </c>
      <c r="B209" s="12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2" t="str">
        <f>VLOOKUP($A209,'DB1'!$C:$Q,12,0)</f>
        <v>2025 Survey on the Status of Marine Waste</v>
      </c>
      <c r="D209" s="11" t="str">
        <f>VLOOKUP($A209,'DB1'!$C:$Q,13,0)</f>
        <v>Kim, Choong-ki</v>
      </c>
      <c r="E209" s="12" t="str">
        <f>VLOOKUP($A209,'DB1'!$C:$Q,14,0)</f>
        <v>Marine Environment</v>
      </c>
      <c r="F209" s="12">
        <f>VLOOKUP($A209,'DB1'!$C:$Q,15,0)</f>
        <v>0</v>
      </c>
      <c r="G209" s="13">
        <f>VLOOKUP($A209,'DB1'!$C:$Q,9,0)</f>
        <v>45845</v>
      </c>
      <c r="H209" s="13">
        <f>VLOOKUP($A209,'DB1'!$C:$Q,10,0)</f>
        <v>46017</v>
      </c>
    </row>
    <row r="210" spans="1:8" ht="33">
      <c r="A210" s="15" t="s">
        <v>672</v>
      </c>
      <c r="B210" s="12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2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2" t="str">
        <f>VLOOKUP($A210,'DB1'!$C:$Q,14,0)</f>
        <v>Circular Economy</v>
      </c>
      <c r="F210" s="12" t="str">
        <f>VLOOKUP($A210,'DB1'!$C:$Q,15,0)</f>
        <v>Carbon Neutrality and Energy</v>
      </c>
      <c r="G210" s="13">
        <f>VLOOKUP($A210,'DB1'!$C:$Q,9,0)</f>
        <v>45846</v>
      </c>
      <c r="H210" s="13">
        <f>VLOOKUP($A210,'DB1'!$C:$Q,10,0)</f>
        <v>46145</v>
      </c>
    </row>
    <row r="211" spans="1:8" ht="33">
      <c r="A211" s="15" t="s">
        <v>675</v>
      </c>
      <c r="B211" s="12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2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2" t="str">
        <f>VLOOKUP($A211,'DB1'!$C:$Q,14,0)</f>
        <v>Environmental Economics</v>
      </c>
      <c r="F211" s="12" t="str">
        <f>VLOOKUP($A211,'DB1'!$C:$Q,15,0)</f>
        <v>AI and Environmental Informatics</v>
      </c>
      <c r="G211" s="13">
        <f>VLOOKUP($A211,'DB1'!$C:$Q,9,0)</f>
        <v>45848</v>
      </c>
      <c r="H211" s="13">
        <f>VLOOKUP($A211,'DB1'!$C:$Q,10,0)</f>
        <v>46147</v>
      </c>
    </row>
    <row r="212" spans="1:8" ht="49.5">
      <c r="A212" s="15" t="s">
        <v>676</v>
      </c>
      <c r="B212" s="12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2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2" t="str">
        <f>VLOOKUP($A212,'DB1'!$C:$Q,14,0)</f>
        <v>Ecology</v>
      </c>
      <c r="F212" s="12" t="str">
        <f>VLOOKUP($A212,'DB1'!$C:$Q,15,0)</f>
        <v>International Environmental Collaboration</v>
      </c>
      <c r="G212" s="13">
        <f>VLOOKUP($A212,'DB1'!$C:$Q,9,0)</f>
        <v>45852</v>
      </c>
      <c r="H212" s="13">
        <f>VLOOKUP($A212,'DB1'!$C:$Q,10,0)</f>
        <v>46091</v>
      </c>
    </row>
    <row r="213" spans="1:8" ht="33">
      <c r="A213" s="15" t="s">
        <v>678</v>
      </c>
      <c r="B213" s="12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2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2" t="str">
        <f>VLOOKUP($A213,'DB1'!$C:$Q,14,0)</f>
        <v>Environmental Health</v>
      </c>
      <c r="F213" s="12">
        <f>VLOOKUP($A213,'DB1'!$C:$Q,15,0)</f>
        <v>0</v>
      </c>
      <c r="G213" s="13">
        <f>VLOOKUP($A213,'DB1'!$C:$Q,9,0)</f>
        <v>45856</v>
      </c>
      <c r="H213" s="13">
        <f>VLOOKUP($A213,'DB1'!$C:$Q,10,0)</f>
        <v>46125</v>
      </c>
    </row>
    <row r="214" spans="1:8" ht="33">
      <c r="A214" s="15" t="s">
        <v>679</v>
      </c>
      <c r="B214" s="12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2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2" t="str">
        <f>VLOOKUP($A214,'DB1'!$C:$Q,14,0)</f>
        <v>Atmospheric Environment</v>
      </c>
      <c r="F214" s="12" t="str">
        <f>VLOOKUP($A214,'DB1'!$C:$Q,15,0)</f>
        <v>Environmental Health</v>
      </c>
      <c r="G214" s="13">
        <f>VLOOKUP($A214,'DB1'!$C:$Q,9,0)</f>
        <v>45863</v>
      </c>
      <c r="H214" s="13">
        <f>VLOOKUP($A214,'DB1'!$C:$Q,10,0)</f>
        <v>46105</v>
      </c>
    </row>
    <row r="215" spans="1:8" ht="33">
      <c r="A215" s="20" t="s">
        <v>682</v>
      </c>
      <c r="B215" s="12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2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2" t="str">
        <f>VLOOKUP($A215,'DB1'!$C:$Q,14,0)</f>
        <v>Climate Adaptation</v>
      </c>
      <c r="F215" s="12">
        <f>VLOOKUP($A215,'DB1'!$C:$Q,15,0)</f>
        <v>0</v>
      </c>
      <c r="G215" s="13">
        <f>VLOOKUP($A215,'DB1'!$C:$Q,9,0)</f>
        <v>45873</v>
      </c>
      <c r="H215" s="13">
        <f>VLOOKUP($A215,'DB1'!$C:$Q,10,0)</f>
        <v>46172</v>
      </c>
    </row>
    <row r="216" spans="1:8" ht="33">
      <c r="A216" s="20" t="s">
        <v>687</v>
      </c>
      <c r="B216" s="12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2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2" t="str">
        <f>VLOOKUP($A216,'DB1'!$C:$Q,14,0)</f>
        <v>Land and Urban Environment</v>
      </c>
      <c r="F216" s="12" t="str">
        <f>VLOOKUP($A216,'DB1'!$C:$Q,15,0)</f>
        <v>Environmental Assessment</v>
      </c>
      <c r="G216" s="13">
        <f>VLOOKUP($A216,'DB1'!$C:$Q,9,0)</f>
        <v>45876</v>
      </c>
      <c r="H216" s="13">
        <f>VLOOKUP($A216,'DB1'!$C:$Q,10,0)</f>
        <v>46176</v>
      </c>
    </row>
    <row r="217" spans="1:8" ht="33">
      <c r="A217" s="20" t="s">
        <v>685</v>
      </c>
      <c r="B217" s="12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2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2" t="str">
        <f>VLOOKUP($A217,'DB1'!$C:$Q,14,0)</f>
        <v>Water Management</v>
      </c>
      <c r="F217" s="12">
        <f>VLOOKUP($A217,'DB1'!$C:$Q,15,0)</f>
        <v>0</v>
      </c>
      <c r="G217" s="13">
        <f>VLOOKUP($A217,'DB1'!$C:$Q,9,0)</f>
        <v>45877</v>
      </c>
      <c r="H217" s="13">
        <f>VLOOKUP($A217,'DB1'!$C:$Q,10,0)</f>
        <v>46241</v>
      </c>
    </row>
    <row r="218" spans="1:8" ht="33">
      <c r="A218" s="29" t="s">
        <v>691</v>
      </c>
      <c r="B218" s="12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2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2" t="str">
        <f>VLOOKUP($A218,'DB1'!$C:$Q,14,0)</f>
        <v>Ecology</v>
      </c>
      <c r="F218" s="12" t="str">
        <f>VLOOKUP($A218,'DB1'!$C:$Q,15,0)</f>
        <v>Sustainable Development</v>
      </c>
      <c r="G218" s="13">
        <f>VLOOKUP($A218,'DB1'!$C:$Q,9,0)</f>
        <v>45890</v>
      </c>
      <c r="H218" s="13">
        <f>VLOOKUP($A218,'DB1'!$C:$Q,10,0)</f>
        <v>46142</v>
      </c>
    </row>
    <row r="219" spans="1:8" ht="33">
      <c r="A219" s="20" t="s">
        <v>694</v>
      </c>
      <c r="B219" s="12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2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2" t="str">
        <f>VLOOKUP($A219,'DB1'!$C:$Q,14,0)</f>
        <v>Environmental Assessment</v>
      </c>
      <c r="F219" s="12" t="str">
        <f>VLOOKUP($A219,'DB1'!$C:$Q,15,0)</f>
        <v>Climate Adaptation</v>
      </c>
      <c r="G219" s="13">
        <f>VLOOKUP($A219,'DB1'!$C:$Q,9,0)</f>
        <v>45898</v>
      </c>
      <c r="H219" s="13">
        <f>VLOOKUP($A219,'DB1'!$C:$Q,10,0)</f>
        <v>46262</v>
      </c>
    </row>
    <row r="220" spans="1:8" ht="33">
      <c r="A220" s="20" t="s">
        <v>698</v>
      </c>
      <c r="B220" s="12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2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2" t="str">
        <f>VLOOKUP($A220,'DB1'!$C:$Q,14,0)</f>
        <v>Climate Adaptation</v>
      </c>
      <c r="F220" s="12" t="str">
        <f>VLOOKUP($A220,'DB1'!$C:$Q,15,0)</f>
        <v>Environmental Health</v>
      </c>
      <c r="G220" s="13">
        <f>VLOOKUP($A220,'DB1'!$C:$Q,9,0)</f>
        <v>45901</v>
      </c>
      <c r="H220" s="13">
        <f>VLOOKUP($A220,'DB1'!$C:$Q,10,0)</f>
        <v>46476</v>
      </c>
    </row>
    <row r="221" spans="1:8" ht="49.5">
      <c r="A221" s="29" t="s">
        <v>784</v>
      </c>
      <c r="B221" s="12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2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2" t="str">
        <f>VLOOKUP($A221,'DB1'!$C:$Q,14,0)</f>
        <v>International Environmental Collaboration</v>
      </c>
      <c r="F221" s="12">
        <f>VLOOKUP($A221,'DB1'!$C:$Q,15,0)</f>
        <v>0</v>
      </c>
      <c r="G221" s="13">
        <f>VLOOKUP($A221,'DB1'!$C:$Q,9,0)</f>
        <v>45901</v>
      </c>
      <c r="H221" s="13">
        <f>VLOOKUP($A221,'DB1'!$C:$Q,10,0)</f>
        <v>46081</v>
      </c>
    </row>
    <row r="222" spans="1:8">
      <c r="A222" s="20" t="s">
        <v>790</v>
      </c>
      <c r="B222" s="12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2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2" t="str">
        <f>VLOOKUP($A222,'DB1'!$C:$Q,14,0)</f>
        <v>Climate Adaptation</v>
      </c>
      <c r="F222" s="12" t="str">
        <f>VLOOKUP($A222,'DB1'!$C:$Q,15,0)</f>
        <v>Water Management</v>
      </c>
      <c r="G222" s="13">
        <f>VLOOKUP($A222,'DB1'!$C:$Q,9,0)</f>
        <v>45901</v>
      </c>
      <c r="H222" s="13">
        <f>VLOOKUP($A222,'DB1'!$C:$Q,10,0)</f>
        <v>46081</v>
      </c>
    </row>
    <row r="223" spans="1:8" ht="33">
      <c r="A223" s="20" t="s">
        <v>968</v>
      </c>
      <c r="B223" s="12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2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2" t="str">
        <f>VLOOKUP($A223,'DB1'!$C:$Q,14,0)</f>
        <v>Land and Urban Environment</v>
      </c>
      <c r="F223" s="12" t="str">
        <f>VLOOKUP($A223,'DB1'!$C:$Q,15,0)</f>
        <v>Ecology</v>
      </c>
      <c r="G223" s="13">
        <f>VLOOKUP($A223,'DB1'!$C:$Q,9,0)</f>
        <v>45901</v>
      </c>
      <c r="H223" s="13">
        <f>VLOOKUP($A223,'DB1'!$C:$Q,10,0)</f>
        <v>46081</v>
      </c>
    </row>
    <row r="224" spans="1:8" ht="33">
      <c r="A224" s="20" t="s">
        <v>971</v>
      </c>
      <c r="B224" s="12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2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2" t="str">
        <f>VLOOKUP($A224,'DB1'!$C:$Q,14,0)</f>
        <v>AI and Environmental Informatics</v>
      </c>
      <c r="F224" s="12" t="str">
        <f>VLOOKUP($A224,'DB1'!$C:$Q,15,0)</f>
        <v>Land and Urban Environment</v>
      </c>
      <c r="G224" s="13">
        <f>VLOOKUP($A224,'DB1'!$C:$Q,9,0)</f>
        <v>45901</v>
      </c>
      <c r="H224" s="13">
        <f>VLOOKUP($A224,'DB1'!$C:$Q,10,0)</f>
        <v>46081</v>
      </c>
    </row>
    <row r="225" spans="1:8" ht="49.5">
      <c r="A225" s="20" t="s">
        <v>973</v>
      </c>
      <c r="B225" s="12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2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2" t="str">
        <f>VLOOKUP($A225,'DB1'!$C:$Q,14,0)</f>
        <v>Carbon Neutrality and Energy</v>
      </c>
      <c r="F225" s="12" t="str">
        <f>VLOOKUP($A225,'DB1'!$C:$Q,15,0)</f>
        <v>International Environmental Collaboration</v>
      </c>
      <c r="G225" s="13">
        <f>VLOOKUP($A225,'DB1'!$C:$Q,9,0)</f>
        <v>45901</v>
      </c>
      <c r="H225" s="13">
        <f>VLOOKUP($A225,'DB1'!$C:$Q,10,0)</f>
        <v>46081</v>
      </c>
    </row>
    <row r="226" spans="1:8" ht="49.5">
      <c r="A226" s="20" t="s">
        <v>701</v>
      </c>
      <c r="B226" s="12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2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2" t="str">
        <f>VLOOKUP($A226,'DB1'!$C:$Q,14,0)</f>
        <v>Carbon Neutrality and Energy</v>
      </c>
      <c r="F226" s="12" t="str">
        <f>VLOOKUP($A226,'DB1'!$C:$Q,15,0)</f>
        <v>International Environmental Collaboration</v>
      </c>
      <c r="G226" s="13">
        <f>VLOOKUP($A226,'DB1'!$C:$Q,9,0)</f>
        <v>45924</v>
      </c>
      <c r="H226" s="13">
        <f>VLOOKUP($A226,'DB1'!$C:$Q,10,0)</f>
        <v>46288</v>
      </c>
    </row>
    <row r="227" spans="1:8" ht="33">
      <c r="A227" s="20" t="s">
        <v>703</v>
      </c>
      <c r="B227" s="12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2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2" t="str">
        <f>VLOOKUP($A227,'DB1'!$C:$Q,14,0)</f>
        <v>Carbon Neutrality and Energy</v>
      </c>
      <c r="F227" s="12" t="str">
        <f>VLOOKUP($A227,'DB1'!$C:$Q,15,0)</f>
        <v>Environmental Economics</v>
      </c>
      <c r="G227" s="13">
        <f>VLOOKUP($A227,'DB1'!$C:$Q,9,0)</f>
        <v>45924</v>
      </c>
      <c r="H227" s="13">
        <f>VLOOKUP($A227,'DB1'!$C:$Q,10,0)</f>
        <v>46133</v>
      </c>
    </row>
    <row r="228" spans="1:8" ht="33">
      <c r="A228" s="20" t="s">
        <v>705</v>
      </c>
      <c r="B228" s="12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2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2" t="str">
        <f>VLOOKUP($A228,'DB1'!$C:$Q,14,0)</f>
        <v>Ecology</v>
      </c>
      <c r="F228" s="12" t="str">
        <f>VLOOKUP($A228,'DB1'!$C:$Q,15,0)</f>
        <v>Environmental Economics</v>
      </c>
      <c r="G228" s="13">
        <f>VLOOKUP($A228,'DB1'!$C:$Q,9,0)</f>
        <v>45925</v>
      </c>
      <c r="H228" s="13">
        <f>VLOOKUP($A228,'DB1'!$C:$Q,10,0)</f>
        <v>46289</v>
      </c>
    </row>
    <row r="229" spans="1:8" ht="49.5">
      <c r="A229" s="20" t="s">
        <v>708</v>
      </c>
      <c r="B229" s="12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2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2" t="str">
        <f>VLOOKUP($A229,'DB1'!$C:$Q,14,0)</f>
        <v>Ecology</v>
      </c>
      <c r="F229" s="12" t="str">
        <f>VLOOKUP($A229,'DB1'!$C:$Q,15,0)</f>
        <v>International Environmental Collaboration</v>
      </c>
      <c r="G229" s="13">
        <f>VLOOKUP($A229,'DB1'!$C:$Q,9,0)</f>
        <v>45925</v>
      </c>
      <c r="H229" s="13">
        <f>VLOOKUP($A229,'DB1'!$C:$Q,10,0)</f>
        <v>46104</v>
      </c>
    </row>
    <row r="230" spans="1:8" ht="33">
      <c r="A230" s="20" t="s">
        <v>689</v>
      </c>
      <c r="B230" s="12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2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2" t="str">
        <f>VLOOKUP($A230,'DB1'!$C:$Q,14,0)</f>
        <v>AI and Environmental Informatics</v>
      </c>
      <c r="F230" s="12" t="str">
        <f>VLOOKUP($A230,'DB1'!$C:$Q,15,0)</f>
        <v>Ecology</v>
      </c>
      <c r="G230" s="13">
        <f>VLOOKUP($A230,'DB1'!$C:$Q,9,0)</f>
        <v>45931</v>
      </c>
      <c r="H230" s="13">
        <f>VLOOKUP($A230,'DB1'!$C:$Q,10,0)</f>
        <v>46022</v>
      </c>
    </row>
    <row r="231" spans="1:8" ht="33">
      <c r="A231" s="29" t="s">
        <v>713</v>
      </c>
      <c r="B231" s="12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2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2" t="str">
        <f>VLOOKUP($A231,'DB1'!$C:$Q,14,0)</f>
        <v>Carbon Neutrality and Energy</v>
      </c>
      <c r="F231" s="12" t="str">
        <f>VLOOKUP($A231,'DB1'!$C:$Q,15,0)</f>
        <v>Environmental Economics</v>
      </c>
      <c r="G231" s="13">
        <f>VLOOKUP($A231,'DB1'!$C:$Q,9,0)</f>
        <v>45932</v>
      </c>
      <c r="H231" s="13">
        <f>VLOOKUP($A231,'DB1'!$C:$Q,10,0)</f>
        <v>46114</v>
      </c>
    </row>
    <row r="232" spans="1:8" ht="33">
      <c r="A232" s="20" t="s">
        <v>711</v>
      </c>
      <c r="B232" s="12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2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2" t="str">
        <f>VLOOKUP($A232,'DB1'!$C:$Q,14,0)</f>
        <v>Environmental Assessment</v>
      </c>
      <c r="F232" s="12" t="str">
        <f>VLOOKUP($A232,'DB1'!$C:$Q,15,0)</f>
        <v>Environmental Economics</v>
      </c>
      <c r="G232" s="13">
        <f>VLOOKUP($A232,'DB1'!$C:$Q,9,0)</f>
        <v>45943</v>
      </c>
      <c r="H232" s="13">
        <f>VLOOKUP($A232,'DB1'!$C:$Q,10,0)</f>
        <v>46182</v>
      </c>
    </row>
    <row r="233" spans="1:8" ht="33">
      <c r="A233" s="20" t="s">
        <v>721</v>
      </c>
      <c r="B233" s="12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2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2" t="str">
        <f>VLOOKUP($A233,'DB1'!$C:$Q,14,0)</f>
        <v>Water Management</v>
      </c>
      <c r="F233" s="12">
        <f>VLOOKUP($A233,'DB1'!$C:$Q,15,0)</f>
        <v>0</v>
      </c>
      <c r="G233" s="13">
        <f>VLOOKUP($A233,'DB1'!$C:$Q,9,0)</f>
        <v>45948</v>
      </c>
      <c r="H233" s="13">
        <f>VLOOKUP($A233,'DB1'!$C:$Q,10,0)</f>
        <v>46312</v>
      </c>
    </row>
    <row r="234" spans="1:8" ht="33">
      <c r="A234" s="20" t="s">
        <v>718</v>
      </c>
      <c r="B234" s="12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2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2" t="str">
        <f>VLOOKUP($A234,'DB1'!$C:$Q,14,0)</f>
        <v>Water Management</v>
      </c>
      <c r="F234" s="12" t="str">
        <f>VLOOKUP($A234,'DB1'!$C:$Q,15,0)</f>
        <v>Environmental Economics</v>
      </c>
      <c r="G234" s="13">
        <f>VLOOKUP($A234,'DB1'!$C:$Q,9,0)</f>
        <v>45958</v>
      </c>
      <c r="H234" s="13">
        <f>VLOOKUP($A234,'DB1'!$C:$Q,10,0)</f>
        <v>46197</v>
      </c>
    </row>
    <row r="235" spans="1:8" ht="33">
      <c r="A235" s="20" t="s">
        <v>974</v>
      </c>
      <c r="B235" s="12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2" t="str">
        <f>VLOOKUP($A235,'DB1'!$C:$Q,12,0)</f>
        <v>Measures for Adjusting Transport Fuel Prices and Utilizing Tax Revenues to Promote the Transition to Zero-Emission Vehicles</v>
      </c>
      <c r="D235" s="11" t="str">
        <f>VLOOKUP($A235,'DB1'!$C:$Q,13,0)</f>
        <v>Hahn, Jinseok</v>
      </c>
      <c r="E235" s="12" t="str">
        <f>VLOOKUP($A235,'DB1'!$C:$Q,14,0)</f>
        <v>Carbon Neutrality and Energy</v>
      </c>
      <c r="F235" s="12" t="str">
        <f>VLOOKUP($A235,'DB1'!$C:$Q,15,0)</f>
        <v>Environmental Economics</v>
      </c>
      <c r="G235" s="13">
        <f>VLOOKUP($A235,'DB1'!$C:$Q,9,0)</f>
        <v>45971</v>
      </c>
      <c r="H235" s="13">
        <f>VLOOKUP($A235,'DB1'!$C:$Q,10,0)</f>
        <v>46151</v>
      </c>
    </row>
    <row r="236" spans="1:8">
      <c r="A236" s="20" t="s">
        <v>976</v>
      </c>
      <c r="B236" s="12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2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2" t="str">
        <f>VLOOKUP($A236,'DB1'!$C:$Q,14,0)</f>
        <v>Water Management</v>
      </c>
      <c r="F236" s="12" t="str">
        <f>VLOOKUP($A236,'DB1'!$C:$Q,15,0)</f>
        <v>Climate Adaptation</v>
      </c>
      <c r="G236" s="13">
        <f>VLOOKUP($A236,'DB1'!$C:$Q,9,0)</f>
        <v>45971</v>
      </c>
      <c r="H236" s="13">
        <f>VLOOKUP($A236,'DB1'!$C:$Q,10,0)</f>
        <v>46151</v>
      </c>
    </row>
    <row r="237" spans="1:8" ht="33">
      <c r="A237" s="20" t="s">
        <v>724</v>
      </c>
      <c r="B237" s="12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2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2" t="str">
        <f>VLOOKUP($A237,'DB1'!$C:$Q,14,0)</f>
        <v>Environmental Assessment</v>
      </c>
      <c r="F237" s="12" t="str">
        <f>VLOOKUP($A237,'DB1'!$C:$Q,15,0)</f>
        <v>Environmental Health</v>
      </c>
      <c r="G237" s="13">
        <f>VLOOKUP($A237,'DB1'!$C:$Q,9,0)</f>
        <v>45973</v>
      </c>
      <c r="H237" s="13">
        <f>VLOOKUP($A237,'DB1'!$C:$Q,10,0)</f>
        <v>46152</v>
      </c>
    </row>
    <row r="238" spans="1:8" ht="33">
      <c r="A238" s="20" t="s">
        <v>1903</v>
      </c>
      <c r="B238" s="12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2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2" t="str">
        <f>VLOOKUP($A238,'DB1'!$C:$Q,14,0)</f>
        <v>Environmental Assessment</v>
      </c>
      <c r="F238" s="12" t="str">
        <f>VLOOKUP($A238,'DB1'!$C:$Q,15,0)</f>
        <v>Climate Adaptation</v>
      </c>
      <c r="G238" s="13">
        <f>VLOOKUP($A238,'DB1'!$C:$Q,9,0)</f>
        <v>45999</v>
      </c>
      <c r="H238" s="13">
        <f>VLOOKUP($A238,'DB1'!$C:$Q,10,0)</f>
        <v>46180</v>
      </c>
    </row>
    <row r="239" spans="1:8" ht="33">
      <c r="A239" s="20" t="s">
        <v>1905</v>
      </c>
      <c r="B239" s="12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2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2" t="str">
        <f>VLOOKUP($A239,'DB1'!$C:$Q,14,0)</f>
        <v>Land and Urban Environment</v>
      </c>
      <c r="F239" s="12" t="str">
        <f>VLOOKUP($A239,'DB1'!$C:$Q,15,0)</f>
        <v>Carbon Neutrality and Energy</v>
      </c>
      <c r="G239" s="13">
        <f>VLOOKUP($A239,'DB1'!$C:$Q,9,0)</f>
        <v>45999</v>
      </c>
      <c r="H239" s="13">
        <f>VLOOKUP($A239,'DB1'!$C:$Q,10,0)</f>
        <v>46180</v>
      </c>
    </row>
    <row r="240" spans="1:8" ht="33">
      <c r="A240" s="20" t="s">
        <v>1817</v>
      </c>
      <c r="B240" s="12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2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2" t="str">
        <f>VLOOKUP($A240,'DB1'!$C:$Q,14,0)</f>
        <v>Carbon Neutrality and Energy</v>
      </c>
      <c r="F240" s="12" t="str">
        <f>VLOOKUP($A240,'DB1'!$C:$Q,15,0)</f>
        <v>Environmental Economics</v>
      </c>
      <c r="G240" s="13">
        <f>VLOOKUP($A240,'DB1'!$C:$Q,9,0)</f>
        <v>46000</v>
      </c>
      <c r="H240" s="13">
        <f>VLOOKUP($A240,'DB1'!$C:$Q,10,0)</f>
        <v>46180</v>
      </c>
    </row>
    <row r="241" spans="1:8" ht="33">
      <c r="A241" s="20" t="s">
        <v>1819</v>
      </c>
      <c r="B241" s="12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2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2" t="str">
        <f>VLOOKUP($A241,'DB1'!$C:$Q,14,0)</f>
        <v>Ecology</v>
      </c>
      <c r="F241" s="12" t="str">
        <f>VLOOKUP($A241,'DB1'!$C:$Q,15,0)</f>
        <v>Sustainable Development</v>
      </c>
      <c r="G241" s="13">
        <f>VLOOKUP($A241,'DB1'!$C:$Q,9,0)</f>
        <v>46000</v>
      </c>
      <c r="H241" s="13">
        <f>VLOOKUP($A241,'DB1'!$C:$Q,10,0)</f>
        <v>46180</v>
      </c>
    </row>
    <row r="242" spans="1:8" ht="33">
      <c r="A242" s="20" t="s">
        <v>1821</v>
      </c>
      <c r="B242" s="12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2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2" t="str">
        <f>VLOOKUP($A242,'DB1'!$C:$Q,14,0)</f>
        <v>Ecology</v>
      </c>
      <c r="F242" s="12" t="str">
        <f>VLOOKUP($A242,'DB1'!$C:$Q,15,0)</f>
        <v>Environmental Assessment</v>
      </c>
      <c r="G242" s="13">
        <f>VLOOKUP($A242,'DB1'!$C:$Q,9,0)</f>
        <v>46002</v>
      </c>
      <c r="H242" s="13">
        <f>VLOOKUP($A242,'DB1'!$C:$Q,10,0)</f>
        <v>46179</v>
      </c>
    </row>
    <row r="243" spans="1:8" ht="33">
      <c r="A243" s="20" t="s">
        <v>1823</v>
      </c>
      <c r="B243" s="12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2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2" t="str">
        <f>VLOOKUP($A243,'DB1'!$C:$Q,14,0)</f>
        <v>Environmental Health</v>
      </c>
      <c r="F243" s="12" t="str">
        <f>VLOOKUP($A243,'DB1'!$C:$Q,15,0)</f>
        <v>Ecology</v>
      </c>
      <c r="G243" s="13">
        <f>VLOOKUP($A243,'DB1'!$C:$Q,9,0)</f>
        <v>46017</v>
      </c>
      <c r="H243" s="13">
        <f>VLOOKUP($A243,'DB1'!$C:$Q,10,0)</f>
        <v>46038</v>
      </c>
    </row>
    <row r="244" spans="1:8" ht="33">
      <c r="A244" s="15" t="s">
        <v>161</v>
      </c>
      <c r="B244" s="12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2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2" t="str">
        <f>VLOOKUP($A244,'DB1'!$C:$Q,14,0)</f>
        <v>Carbon Neutrality and Energy</v>
      </c>
      <c r="F244" s="12" t="str">
        <f>VLOOKUP($A244,'DB1'!$C:$Q,15,0)</f>
        <v>Land and Urban Environment</v>
      </c>
      <c r="G244" s="13">
        <f>VLOOKUP($A244,'DB1'!$C:$Q,9,0)</f>
        <v>45488</v>
      </c>
      <c r="H244" s="13">
        <f>VLOOKUP($A244,'DB1'!$C:$Q,10,0)</f>
        <v>45747</v>
      </c>
    </row>
    <row r="245" spans="1:8" ht="49.5">
      <c r="A245" s="15" t="s">
        <v>798</v>
      </c>
      <c r="B245" s="12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2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2" t="str">
        <f>VLOOKUP($A245,'DB1'!$C:$Q,14,0)</f>
        <v>International Environmental Collaboration</v>
      </c>
      <c r="F245" s="12">
        <f>VLOOKUP($A245,'DB1'!$C:$Q,15,0)</f>
        <v>0</v>
      </c>
      <c r="G245" s="13">
        <f>VLOOKUP($A245,'DB1'!$C:$Q,9,0)</f>
        <v>45658</v>
      </c>
      <c r="H245" s="13">
        <f>VLOOKUP($A245,'DB1'!$C:$Q,10,0)</f>
        <v>46022</v>
      </c>
    </row>
    <row r="246" spans="1:8" ht="33">
      <c r="A246" s="15" t="s">
        <v>803</v>
      </c>
      <c r="B246" s="12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2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2" t="str">
        <f>VLOOKUP($A246,'DB1'!$C:$Q,14,0)</f>
        <v>Land and Urban Environment</v>
      </c>
      <c r="F246" s="12" t="str">
        <f>VLOOKUP($A246,'DB1'!$C:$Q,15,0)</f>
        <v>AI and Environmental Informatics</v>
      </c>
      <c r="G246" s="13">
        <f>VLOOKUP($A246,'DB1'!$C:$Q,9,0)</f>
        <v>45658</v>
      </c>
      <c r="H246" s="13">
        <f>VLOOKUP($A246,'DB1'!$C:$Q,10,0)</f>
        <v>46022</v>
      </c>
    </row>
    <row r="247" spans="1:8" ht="33">
      <c r="A247" s="15" t="s">
        <v>806</v>
      </c>
      <c r="B247" s="12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2" t="str">
        <f>VLOOKUP($A247,'DB1'!$C:$Q,12,0)</f>
        <v>Management of the KEI E-Learning Center</v>
      </c>
      <c r="D247" s="11" t="str">
        <f>VLOOKUP($A247,'DB1'!$C:$Q,13,0)</f>
        <v>Cho, Kongjang</v>
      </c>
      <c r="E247" s="12" t="str">
        <f>VLOOKUP($A247,'DB1'!$C:$Q,14,0)</f>
        <v>Socio-Environmental Interface</v>
      </c>
      <c r="F247" s="12" t="str">
        <f>VLOOKUP($A247,'DB1'!$C:$Q,15,0)</f>
        <v>AI and Environmental Informatics</v>
      </c>
      <c r="G247" s="13">
        <f>VLOOKUP($A247,'DB1'!$C:$Q,9,0)</f>
        <v>45658</v>
      </c>
      <c r="H247" s="13">
        <f>VLOOKUP($A247,'DB1'!$C:$Q,10,0)</f>
        <v>46022</v>
      </c>
    </row>
    <row r="248" spans="1:8">
      <c r="A248" s="15" t="s">
        <v>809</v>
      </c>
      <c r="B248" s="12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2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2" t="str">
        <f>VLOOKUP($A248,'DB1'!$C:$Q,14,0)</f>
        <v>Climate Adaptation</v>
      </c>
      <c r="F248" s="12">
        <f>VLOOKUP($A248,'DB1'!$C:$Q,15,0)</f>
        <v>0</v>
      </c>
      <c r="G248" s="13">
        <f>VLOOKUP($A248,'DB1'!$C:$Q,9,0)</f>
        <v>45658</v>
      </c>
      <c r="H248" s="13">
        <f>VLOOKUP($A248,'DB1'!$C:$Q,10,0)</f>
        <v>46022</v>
      </c>
    </row>
    <row r="249" spans="1:8" ht="33">
      <c r="A249" s="15" t="s">
        <v>812</v>
      </c>
      <c r="B249" s="12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2" t="str">
        <f>VLOOKUP($A249,'DB1'!$C:$Q,12,0)</f>
        <v>Environmental Assessment Monitoring Project</v>
      </c>
      <c r="D249" s="11" t="str">
        <f>VLOOKUP($A249,'DB1'!$C:$Q,13,0)</f>
        <v>Lee, Sangbum</v>
      </c>
      <c r="E249" s="12" t="str">
        <f>VLOOKUP($A249,'DB1'!$C:$Q,14,0)</f>
        <v>Environmental Assessment</v>
      </c>
      <c r="F249" s="12">
        <f>VLOOKUP($A249,'DB1'!$C:$Q,15,0)</f>
        <v>0</v>
      </c>
      <c r="G249" s="13">
        <f>VLOOKUP($A249,'DB1'!$C:$Q,9,0)</f>
        <v>45658</v>
      </c>
      <c r="H249" s="13">
        <f>VLOOKUP($A249,'DB1'!$C:$Q,10,0)</f>
        <v>46022</v>
      </c>
    </row>
    <row r="250" spans="1:8" ht="33">
      <c r="A250" s="15" t="s">
        <v>814</v>
      </c>
      <c r="B250" s="12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2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2" t="str">
        <f>VLOOKUP($A250,'DB1'!$C:$Q,14,0)</f>
        <v>Environmental Assessment</v>
      </c>
      <c r="F250" s="12" t="str">
        <f>VLOOKUP($A250,'DB1'!$C:$Q,15,0)</f>
        <v>Climate Adaptation</v>
      </c>
      <c r="G250" s="13">
        <f>VLOOKUP($A250,'DB1'!$C:$Q,9,0)</f>
        <v>45658</v>
      </c>
      <c r="H250" s="13">
        <f>VLOOKUP($A250,'DB1'!$C:$Q,10,0)</f>
        <v>46022</v>
      </c>
    </row>
    <row r="251" spans="1:8" ht="33">
      <c r="A251" s="15" t="s">
        <v>821</v>
      </c>
      <c r="B251" s="12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2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2" t="str">
        <f>VLOOKUP($A251,'DB1'!$C:$Q,14,0)</f>
        <v>Water Management</v>
      </c>
      <c r="F251" s="12" t="str">
        <f>VLOOKUP($A251,'DB1'!$C:$Q,15,0)</f>
        <v>Environmental Economics</v>
      </c>
      <c r="G251" s="13">
        <f>VLOOKUP($A251,'DB1'!$C:$Q,9,0)</f>
        <v>45658</v>
      </c>
      <c r="H251" s="13">
        <f>VLOOKUP($A251,'DB1'!$C:$Q,10,0)</f>
        <v>46022</v>
      </c>
    </row>
    <row r="252" spans="1:8" ht="33">
      <c r="A252" s="15" t="s">
        <v>823</v>
      </c>
      <c r="B252" s="12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2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2" t="str">
        <f>VLOOKUP($A252,'DB1'!$C:$Q,14,0)</f>
        <v>Circular Economy</v>
      </c>
      <c r="F252" s="12">
        <f>VLOOKUP($A252,'DB1'!$C:$Q,15,0)</f>
        <v>0</v>
      </c>
      <c r="G252" s="13">
        <f>VLOOKUP($A252,'DB1'!$C:$Q,9,0)</f>
        <v>45658</v>
      </c>
      <c r="H252" s="13">
        <f>VLOOKUP($A252,'DB1'!$C:$Q,10,0)</f>
        <v>46022</v>
      </c>
    </row>
    <row r="253" spans="1:8" ht="33">
      <c r="A253" s="15" t="s">
        <v>825</v>
      </c>
      <c r="B253" s="12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2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2" t="str">
        <f>VLOOKUP($A253,'DB1'!$C:$Q,14,0)</f>
        <v>Ecology</v>
      </c>
      <c r="F253" s="12" t="str">
        <f>VLOOKUP($A253,'DB1'!$C:$Q,15,0)</f>
        <v>Sustainable Development</v>
      </c>
      <c r="G253" s="13">
        <f>VLOOKUP($A253,'DB1'!$C:$Q,9,0)</f>
        <v>45658</v>
      </c>
      <c r="H253" s="13">
        <f>VLOOKUP($A253,'DB1'!$C:$Q,10,0)</f>
        <v>46022</v>
      </c>
    </row>
    <row r="254" spans="1:8" ht="33">
      <c r="A254" s="15" t="s">
        <v>828</v>
      </c>
      <c r="B254" s="12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2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2" t="str">
        <f>VLOOKUP($A254,'DB1'!$C:$Q,14,0)</f>
        <v>Environmental Assessment</v>
      </c>
      <c r="F254" s="12" t="str">
        <f>VLOOKUP($A254,'DB1'!$C:$Q,15,0)</f>
        <v>AI and Environmental Informatics</v>
      </c>
      <c r="G254" s="13">
        <f>VLOOKUP($A254,'DB1'!$C:$Q,9,0)</f>
        <v>45658</v>
      </c>
      <c r="H254" s="13">
        <f>VLOOKUP($A254,'DB1'!$C:$Q,10,0)</f>
        <v>46022</v>
      </c>
    </row>
    <row r="255" spans="1:8" ht="33">
      <c r="A255" s="15" t="s">
        <v>830</v>
      </c>
      <c r="B255" s="12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2" t="str">
        <f>VLOOKUP($A255,'DB1'!$C:$Q,12,0)</f>
        <v>Collaborative Research on the Green Economy</v>
      </c>
      <c r="D255" s="11" t="str">
        <f>VLOOKUP($A255,'DB1'!$C:$Q,13,0)</f>
        <v>Suh, Yang-won</v>
      </c>
      <c r="E255" s="12" t="str">
        <f>VLOOKUP($A255,'DB1'!$C:$Q,14,0)</f>
        <v>Environmental Economics</v>
      </c>
      <c r="F255" s="12" t="str">
        <f>VLOOKUP($A255,'DB1'!$C:$Q,15,0)</f>
        <v>Sustainable Development</v>
      </c>
      <c r="G255" s="13">
        <f>VLOOKUP($A255,'DB1'!$C:$Q,9,0)</f>
        <v>45658</v>
      </c>
      <c r="H255" s="13">
        <f>VLOOKUP($A255,'DB1'!$C:$Q,10,0)</f>
        <v>46022</v>
      </c>
    </row>
    <row r="256" spans="1:8" ht="33">
      <c r="A256" s="15" t="s">
        <v>878</v>
      </c>
      <c r="B256" s="12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2" t="str">
        <f>VLOOKUP($A256,'DB1'!$C:$Q,12,0)</f>
        <v>Environmental Impact Assessment Review</v>
      </c>
      <c r="D256" s="11" t="str">
        <f>VLOOKUP($A256,'DB1'!$C:$Q,13,0)</f>
        <v>Lee, Sangbum</v>
      </c>
      <c r="E256" s="12" t="str">
        <f>VLOOKUP($A256,'DB1'!$C:$Q,14,0)</f>
        <v>Environmental Assessment</v>
      </c>
      <c r="F256" s="12">
        <f>VLOOKUP($A256,'DB1'!$C:$Q,15,0)</f>
        <v>0</v>
      </c>
      <c r="G256" s="13">
        <f>VLOOKUP($A256,'DB1'!$C:$Q,9,0)</f>
        <v>45658</v>
      </c>
      <c r="H256" s="13">
        <f>VLOOKUP($A256,'DB1'!$C:$Q,10,0)</f>
        <v>46022</v>
      </c>
    </row>
    <row r="257" spans="1:8" ht="33">
      <c r="A257" s="15" t="s">
        <v>880</v>
      </c>
      <c r="B257" s="12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2" t="str">
        <f>VLOOKUP($A257,'DB1'!$C:$Q,12,0)</f>
        <v>Strategic Environmental Assessment Review</v>
      </c>
      <c r="D257" s="11" t="str">
        <f>VLOOKUP($A257,'DB1'!$C:$Q,13,0)</f>
        <v>Lee, Sangbum</v>
      </c>
      <c r="E257" s="12" t="str">
        <f>VLOOKUP($A257,'DB1'!$C:$Q,14,0)</f>
        <v>Environmental Assessment</v>
      </c>
      <c r="F257" s="12">
        <f>VLOOKUP($A257,'DB1'!$C:$Q,15,0)</f>
        <v>0</v>
      </c>
      <c r="G257" s="13">
        <f>VLOOKUP($A257,'DB1'!$C:$Q,9,0)</f>
        <v>45658</v>
      </c>
      <c r="H257" s="13">
        <f>VLOOKUP($A257,'DB1'!$C:$Q,10,0)</f>
        <v>46022</v>
      </c>
    </row>
    <row r="258" spans="1:8" ht="33">
      <c r="A258" s="15" t="s">
        <v>287</v>
      </c>
      <c r="B258" s="12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2" t="str">
        <f>VLOOKUP($A258,'DB1'!$C:$Q,12,0)</f>
        <v>2025 Climate Change Adaptation Project</v>
      </c>
      <c r="D258" s="11" t="str">
        <f>VLOOKUP($A258,'DB1'!$C:$Q,13,0)</f>
        <v>Jung, Huicheul</v>
      </c>
      <c r="E258" s="12" t="str">
        <f>VLOOKUP($A258,'DB1'!$C:$Q,14,0)</f>
        <v>Climate Adaptation</v>
      </c>
      <c r="F258" s="12">
        <f>VLOOKUP($A258,'DB1'!$C:$Q,15,0)</f>
        <v>0</v>
      </c>
      <c r="G258" s="13">
        <f>VLOOKUP($A258,'DB1'!$C:$Q,9,0)</f>
        <v>45658</v>
      </c>
      <c r="H258" s="13">
        <f>VLOOKUP($A258,'DB1'!$C:$Q,10,0)</f>
        <v>46022</v>
      </c>
    </row>
    <row r="259" spans="1:8">
      <c r="A259" s="15" t="s">
        <v>2222</v>
      </c>
      <c r="B259" s="12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2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2" t="str">
        <f>VLOOKUP($A259,'DB1'!$C:$Q,14,0)</f>
        <v>Circular Economy</v>
      </c>
      <c r="F259" s="12">
        <f>VLOOKUP($A259,'DB1'!$C:$Q,15,0)</f>
        <v>0</v>
      </c>
      <c r="G259" s="13">
        <f>VLOOKUP($A259,'DB1'!$C:$Q,9,0)</f>
        <v>45537</v>
      </c>
      <c r="H259" s="13">
        <f>VLOOKUP($A259,'DB1'!$C:$Q,10,0)</f>
        <v>45716</v>
      </c>
    </row>
    <row r="260" spans="1:8" ht="33">
      <c r="A260" s="15" t="s">
        <v>734</v>
      </c>
      <c r="B260" s="12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2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2" t="str">
        <f>VLOOKUP($A260,'DB1'!$C:$Q,14,0)</f>
        <v>Land and Urban Environment</v>
      </c>
      <c r="F260" s="12" t="str">
        <f>VLOOKUP($A260,'DB1'!$C:$Q,15,0)</f>
        <v>Sustainable Development</v>
      </c>
      <c r="G260" s="13">
        <f>VLOOKUP($A260,'DB1'!$C:$Q,9,0)</f>
        <v>45537</v>
      </c>
      <c r="H260" s="13">
        <f>VLOOKUP($A260,'DB1'!$C:$Q,10,0)</f>
        <v>45716</v>
      </c>
    </row>
    <row r="261" spans="1:8" ht="33">
      <c r="A261" s="15" t="s">
        <v>741</v>
      </c>
      <c r="B261" s="12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2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2" t="str">
        <f>VLOOKUP($A261,'DB1'!$C:$Q,14,0)</f>
        <v>Ecology</v>
      </c>
      <c r="F261" s="12" t="str">
        <f>VLOOKUP($A261,'DB1'!$C:$Q,15,0)</f>
        <v>Land and Urban Environment</v>
      </c>
      <c r="G261" s="13">
        <f>VLOOKUP($A261,'DB1'!$C:$Q,9,0)</f>
        <v>45628</v>
      </c>
      <c r="H261" s="13">
        <f>VLOOKUP($A261,'DB1'!$C:$Q,10,0)</f>
        <v>45747</v>
      </c>
    </row>
    <row r="262" spans="1:8" ht="33">
      <c r="A262" s="15" t="s">
        <v>743</v>
      </c>
      <c r="B262" s="12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2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2" t="str">
        <f>VLOOKUP($A262,'DB1'!$C:$Q,14,0)</f>
        <v>AI and Environmental Informatics</v>
      </c>
      <c r="F262" s="12" t="str">
        <f>VLOOKUP($A262,'DB1'!$C:$Q,15,0)</f>
        <v>Environmental Health</v>
      </c>
      <c r="G262" s="13">
        <f>VLOOKUP($A262,'DB1'!$C:$Q,9,0)</f>
        <v>45628</v>
      </c>
      <c r="H262" s="13">
        <f>VLOOKUP($A262,'DB1'!$C:$Q,10,0)</f>
        <v>45808</v>
      </c>
    </row>
    <row r="263" spans="1:8" ht="33">
      <c r="A263" s="15" t="s">
        <v>747</v>
      </c>
      <c r="B263" s="12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2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2" t="str">
        <f>VLOOKUP($A263,'DB1'!$C:$Q,14,0)</f>
        <v>AI and Environmental Informatics</v>
      </c>
      <c r="F263" s="12" t="str">
        <f>VLOOKUP($A263,'DB1'!$C:$Q,15,0)</f>
        <v>Atmospheric Environment</v>
      </c>
      <c r="G263" s="13">
        <f>VLOOKUP($A263,'DB1'!$C:$Q,9,0)</f>
        <v>45628</v>
      </c>
      <c r="H263" s="13">
        <f>VLOOKUP($A263,'DB1'!$C:$Q,10,0)</f>
        <v>45808</v>
      </c>
    </row>
    <row r="264" spans="1:8">
      <c r="A264" s="15" t="s">
        <v>752</v>
      </c>
      <c r="B264" s="12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2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2" t="str">
        <f>VLOOKUP($A264,'DB1'!$C:$Q,14,0)</f>
        <v>Water Management</v>
      </c>
      <c r="F264" s="12" t="str">
        <f>VLOOKUP($A264,'DB1'!$C:$Q,15,0)</f>
        <v>Ecology</v>
      </c>
      <c r="G264" s="13">
        <f>VLOOKUP($A264,'DB1'!$C:$Q,9,0)</f>
        <v>45628</v>
      </c>
      <c r="H264" s="13">
        <f>VLOOKUP($A264,'DB1'!$C:$Q,10,0)</f>
        <v>45808</v>
      </c>
    </row>
    <row r="265" spans="1:8" ht="33">
      <c r="A265" s="15" t="s">
        <v>754</v>
      </c>
      <c r="B265" s="12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2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2" t="str">
        <f>VLOOKUP($A265,'DB1'!$C:$Q,14,0)</f>
        <v>Environmental Assessment</v>
      </c>
      <c r="F265" s="12" t="str">
        <f>VLOOKUP($A265,'DB1'!$C:$Q,15,0)</f>
        <v>Ecology</v>
      </c>
      <c r="G265" s="13">
        <f>VLOOKUP($A265,'DB1'!$C:$Q,9,0)</f>
        <v>45628</v>
      </c>
      <c r="H265" s="13">
        <f>VLOOKUP($A265,'DB1'!$C:$Q,10,0)</f>
        <v>45808</v>
      </c>
    </row>
    <row r="266" spans="1:8" ht="33">
      <c r="A266" s="15" t="s">
        <v>2238</v>
      </c>
      <c r="B266" s="12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2" t="str">
        <f>VLOOKUP($A266,'DB1'!$C:$Q,12,0)</f>
        <v>2026 Climate Change Adaptation Project</v>
      </c>
      <c r="D266" s="11" t="str">
        <f>VLOOKUP($A266,'DB1'!$C:$Q,13,0)</f>
        <v>Jung, Huicheul</v>
      </c>
      <c r="E266" s="12" t="str">
        <f>VLOOKUP($A266,'DB1'!$C:$Q,14,0)</f>
        <v>Climate Adaptation</v>
      </c>
      <c r="F266" s="12">
        <f>VLOOKUP($A266,'DB1'!$C:$Q,15,0)</f>
        <v>0</v>
      </c>
      <c r="G266" s="13">
        <f>VLOOKUP($A266,'DB1'!$C:$Q,9,0)</f>
        <v>46023</v>
      </c>
      <c r="H266" s="13">
        <f>VLOOKUP($A266,'DB1'!$C:$Q,10,0)</f>
        <v>46387</v>
      </c>
    </row>
    <row r="267" spans="1:8" ht="33">
      <c r="A267" s="20" t="s">
        <v>1824</v>
      </c>
      <c r="B267" s="12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2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2" t="str">
        <f>VLOOKUP($A267,'DB1'!$C:$Q,14,0)</f>
        <v>Climate Adaptation</v>
      </c>
      <c r="F267" s="12">
        <f>VLOOKUP($A267,'DB1'!$C:$Q,15,0)</f>
        <v>0</v>
      </c>
      <c r="G267" s="13">
        <f>VLOOKUP($A267,'DB1'!$C:$Q,9,0)</f>
        <v>46023</v>
      </c>
      <c r="H267" s="13">
        <f>VLOOKUP($A267,'DB1'!$C:$Q,10,0)</f>
        <v>46387</v>
      </c>
    </row>
    <row r="268" spans="1:8" ht="33">
      <c r="A268" s="20" t="s">
        <v>1825</v>
      </c>
      <c r="B268" s="12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2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2" t="str">
        <f>VLOOKUP($A268,'DB1'!$C:$Q,14,0)</f>
        <v>Climate Adaptation</v>
      </c>
      <c r="F268" s="12">
        <f>VLOOKUP($A268,'DB1'!$C:$Q,15,0)</f>
        <v>0</v>
      </c>
      <c r="G268" s="13">
        <f>VLOOKUP($A268,'DB1'!$C:$Q,9,0)</f>
        <v>46023</v>
      </c>
      <c r="H268" s="13">
        <f>VLOOKUP($A268,'DB1'!$C:$Q,10,0)</f>
        <v>46387</v>
      </c>
    </row>
    <row r="269" spans="1:8" ht="33">
      <c r="A269" s="20" t="s">
        <v>1826</v>
      </c>
      <c r="B269" s="12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2" t="str">
        <f>VLOOKUP($A269,'DB1'!$C:$Q,12,0)</f>
        <v>Enhancing the Adaptation Capacity of Stakeholders</v>
      </c>
      <c r="D269" s="11" t="str">
        <f>VLOOKUP($A269,'DB1'!$C:$Q,13,0)</f>
        <v>Cho, Hanna</v>
      </c>
      <c r="E269" s="12" t="str">
        <f>VLOOKUP($A269,'DB1'!$C:$Q,14,0)</f>
        <v>Climate Adaptation</v>
      </c>
      <c r="F269" s="12" t="str">
        <f>VLOOKUP($A269,'DB1'!$C:$Q,15,0)</f>
        <v>Socio-Environmental Interface</v>
      </c>
      <c r="G269" s="13">
        <f>VLOOKUP($A269,'DB1'!$C:$Q,9,0)</f>
        <v>46023</v>
      </c>
      <c r="H269" s="13">
        <f>VLOOKUP($A269,'DB1'!$C:$Q,10,0)</f>
        <v>46387</v>
      </c>
    </row>
    <row r="270" spans="1:8" ht="33">
      <c r="A270" s="20" t="s">
        <v>1827</v>
      </c>
      <c r="B270" s="12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2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2" t="str">
        <f>VLOOKUP($A270,'DB1'!$C:$Q,14,0)</f>
        <v>Climate Adaptation</v>
      </c>
      <c r="F270" s="12">
        <f>VLOOKUP($A270,'DB1'!$C:$Q,15,0)</f>
        <v>0</v>
      </c>
      <c r="G270" s="13">
        <f>VLOOKUP($A270,'DB1'!$C:$Q,9,0)</f>
        <v>46023</v>
      </c>
      <c r="H270" s="13">
        <f>VLOOKUP($A270,'DB1'!$C:$Q,10,0)</f>
        <v>46387</v>
      </c>
    </row>
    <row r="271" spans="1:8" ht="33">
      <c r="A271" s="20" t="s">
        <v>1828</v>
      </c>
      <c r="B271" s="12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2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2" t="str">
        <f>VLOOKUP($A271,'DB1'!$C:$Q,14,0)</f>
        <v>Land and Urban Environment</v>
      </c>
      <c r="F271" s="12" t="str">
        <f>VLOOKUP($A271,'DB1'!$C:$Q,15,0)</f>
        <v>Environmental Assessment</v>
      </c>
      <c r="G271" s="13">
        <f>VLOOKUP($A271,'DB1'!$C:$Q,9,0)</f>
        <v>46023</v>
      </c>
      <c r="H271" s="13">
        <f>VLOOKUP($A271,'DB1'!$C:$Q,10,0)</f>
        <v>46387</v>
      </c>
    </row>
    <row r="272" spans="1:8" ht="49.5">
      <c r="A272" s="20" t="s">
        <v>1829</v>
      </c>
      <c r="B272" s="12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2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2" t="str">
        <f>VLOOKUP($A272,'DB1'!$C:$Q,14,0)</f>
        <v>Climate Adaptation</v>
      </c>
      <c r="F272" s="12" t="str">
        <f>VLOOKUP($A272,'DB1'!$C:$Q,15,0)</f>
        <v>International Environmental Collaboration</v>
      </c>
      <c r="G272" s="13">
        <f>VLOOKUP($A272,'DB1'!$C:$Q,9,0)</f>
        <v>46023</v>
      </c>
      <c r="H272" s="13">
        <f>VLOOKUP($A272,'DB1'!$C:$Q,10,0)</f>
        <v>46387</v>
      </c>
    </row>
    <row r="273" spans="1:8" ht="33">
      <c r="A273" s="20" t="s">
        <v>1831</v>
      </c>
      <c r="B273" s="12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2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2" t="str">
        <f>VLOOKUP($A273,'DB1'!$C:$Q,14,0)</f>
        <v>Environmental Economics</v>
      </c>
      <c r="F273" s="12" t="str">
        <f>VLOOKUP($A273,'DB1'!$C:$Q,15,0)</f>
        <v>Ecology</v>
      </c>
      <c r="G273" s="13">
        <f>VLOOKUP($A273,'DB1'!$C:$Q,9,0)</f>
        <v>46023</v>
      </c>
      <c r="H273" s="13">
        <f>VLOOKUP($A273,'DB1'!$C:$Q,10,0)</f>
        <v>46089</v>
      </c>
    </row>
    <row r="274" spans="1:8" ht="33">
      <c r="A274" s="20" t="s">
        <v>1832</v>
      </c>
      <c r="B274" s="12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2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2" t="str">
        <f>VLOOKUP($A274,'DB1'!$C:$Q,14,0)</f>
        <v>Marine Environment</v>
      </c>
      <c r="F274" s="12" t="str">
        <f>VLOOKUP($A274,'DB1'!$C:$Q,15,0)</f>
        <v>AI and Environmental Informatics</v>
      </c>
      <c r="G274" s="13">
        <f>VLOOKUP($A274,'DB1'!$C:$Q,9,0)</f>
        <v>46023</v>
      </c>
      <c r="H274" s="13">
        <f>VLOOKUP($A274,'DB1'!$C:$Q,10,0)</f>
        <v>46387</v>
      </c>
    </row>
    <row r="275" spans="1:8" ht="33">
      <c r="A275" s="20" t="s">
        <v>1834</v>
      </c>
      <c r="B275" s="12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2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2" t="str">
        <f>VLOOKUP($A275,'DB1'!$C:$Q,14,0)</f>
        <v>Climate Adaptation</v>
      </c>
      <c r="F275" s="12" t="str">
        <f>VLOOKUP($A275,'DB1'!$C:$Q,15,0)</f>
        <v>AI and Environmental Informatics</v>
      </c>
      <c r="G275" s="13">
        <f>VLOOKUP($A275,'DB1'!$C:$Q,9,0)</f>
        <v>46023</v>
      </c>
      <c r="H275" s="13">
        <f>VLOOKUP($A275,'DB1'!$C:$Q,10,0)</f>
        <v>46387</v>
      </c>
    </row>
    <row r="276" spans="1:8" ht="33">
      <c r="A276" s="20" t="s">
        <v>1835</v>
      </c>
      <c r="B276" s="12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2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2" t="str">
        <f>VLOOKUP($A276,'DB1'!$C:$Q,14,0)</f>
        <v>Climate Adaptation</v>
      </c>
      <c r="F276" s="12" t="str">
        <f>VLOOKUP($A276,'DB1'!$C:$Q,15,0)</f>
        <v>AI and Environmental Informatics</v>
      </c>
      <c r="G276" s="13">
        <f>VLOOKUP($A276,'DB1'!$C:$Q,9,0)</f>
        <v>46023</v>
      </c>
      <c r="H276" s="13">
        <f>VLOOKUP($A276,'DB1'!$C:$Q,10,0)</f>
        <v>46387</v>
      </c>
    </row>
    <row r="277" spans="1:8" ht="33">
      <c r="A277" s="20" t="s">
        <v>1837</v>
      </c>
      <c r="B277" s="12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2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2" t="str">
        <f>VLOOKUP($A277,'DB1'!$C:$Q,14,0)</f>
        <v>Water Management</v>
      </c>
      <c r="F277" s="12" t="str">
        <f>VLOOKUP($A277,'DB1'!$C:$Q,15,0)</f>
        <v>Climate Adaptation</v>
      </c>
      <c r="G277" s="13">
        <f>VLOOKUP($A277,'DB1'!$C:$Q,9,0)</f>
        <v>46023</v>
      </c>
      <c r="H277" s="13">
        <f>VLOOKUP($A277,'DB1'!$C:$Q,10,0)</f>
        <v>46387</v>
      </c>
    </row>
    <row r="278" spans="1:8" ht="49.5">
      <c r="A278" s="20" t="s">
        <v>1839</v>
      </c>
      <c r="B278" s="12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2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2" t="str">
        <f>VLOOKUP($A278,'DB1'!$C:$Q,14,0)</f>
        <v>Carbon Neutrality and Energy</v>
      </c>
      <c r="F278" s="12" t="str">
        <f>VLOOKUP($A278,'DB1'!$C:$Q,15,0)</f>
        <v>International Environmental Collaboration</v>
      </c>
      <c r="G278" s="13">
        <f>VLOOKUP($A278,'DB1'!$C:$Q,9,0)</f>
        <v>46023</v>
      </c>
      <c r="H278" s="13">
        <f>VLOOKUP($A278,'DB1'!$C:$Q,10,0)</f>
        <v>46387</v>
      </c>
    </row>
    <row r="279" spans="1:8" ht="33">
      <c r="A279" s="20" t="s">
        <v>1841</v>
      </c>
      <c r="B279" s="12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2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2" t="str">
        <f>VLOOKUP($A279,'DB1'!$C:$Q,14,0)</f>
        <v>Climate Adaptation</v>
      </c>
      <c r="F279" s="12" t="str">
        <f>VLOOKUP($A279,'DB1'!$C:$Q,15,0)</f>
        <v>AI and Environmental Informatics</v>
      </c>
      <c r="G279" s="13">
        <f>VLOOKUP($A279,'DB1'!$C:$Q,9,0)</f>
        <v>46023</v>
      </c>
      <c r="H279" s="13">
        <f>VLOOKUP($A279,'DB1'!$C:$Q,10,0)</f>
        <v>46387</v>
      </c>
    </row>
    <row r="280" spans="1:8" ht="33">
      <c r="A280" s="20" t="s">
        <v>1843</v>
      </c>
      <c r="B280" s="12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2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2" t="str">
        <f>VLOOKUP($A280,'DB1'!$C:$Q,14,0)</f>
        <v>Environmental Health</v>
      </c>
      <c r="F280" s="12" t="str">
        <f>VLOOKUP($A280,'DB1'!$C:$Q,15,0)</f>
        <v>Sustainable Development</v>
      </c>
      <c r="G280" s="13">
        <f>VLOOKUP($A280,'DB1'!$C:$Q,9,0)</f>
        <v>46023</v>
      </c>
      <c r="H280" s="13">
        <f>VLOOKUP($A280,'DB1'!$C:$Q,10,0)</f>
        <v>46387</v>
      </c>
    </row>
    <row r="281" spans="1:8" ht="33">
      <c r="A281" s="20" t="s">
        <v>1845</v>
      </c>
      <c r="B281" s="12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2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2" t="str">
        <f>VLOOKUP($A281,'DB1'!$C:$Q,14,0)</f>
        <v>Water Management</v>
      </c>
      <c r="F281" s="12" t="str">
        <f>VLOOKUP($A281,'DB1'!$C:$Q,15,0)</f>
        <v>Environmental Economics</v>
      </c>
      <c r="G281" s="13">
        <f>VLOOKUP($A281,'DB1'!$C:$Q,9,0)</f>
        <v>46023</v>
      </c>
      <c r="H281" s="13">
        <f>VLOOKUP($A281,'DB1'!$C:$Q,10,0)</f>
        <v>46387</v>
      </c>
    </row>
    <row r="282" spans="1:8" ht="33">
      <c r="A282" s="20" t="s">
        <v>1847</v>
      </c>
      <c r="B282" s="12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2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2" t="str">
        <f>VLOOKUP($A282,'DB1'!$C:$Q,14,0)</f>
        <v>Ecology</v>
      </c>
      <c r="F282" s="12" t="str">
        <f>VLOOKUP($A282,'DB1'!$C:$Q,15,0)</f>
        <v>Climate Adaptation</v>
      </c>
      <c r="G282" s="13">
        <f>VLOOKUP($A282,'DB1'!$C:$Q,9,0)</f>
        <v>46023</v>
      </c>
      <c r="H282" s="13">
        <f>VLOOKUP($A282,'DB1'!$C:$Q,10,0)</f>
        <v>46387</v>
      </c>
    </row>
    <row r="283" spans="1:8" ht="33">
      <c r="A283" s="20" t="s">
        <v>1849</v>
      </c>
      <c r="B283" s="12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2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2" t="str">
        <f>VLOOKUP($A283,'DB1'!$C:$Q,14,0)</f>
        <v>Water Management</v>
      </c>
      <c r="F283" s="12" t="str">
        <f>VLOOKUP($A283,'DB1'!$C:$Q,15,0)</f>
        <v>AI and Environmental Informatics</v>
      </c>
      <c r="G283" s="13">
        <f>VLOOKUP($A283,'DB1'!$C:$Q,9,0)</f>
        <v>46023</v>
      </c>
      <c r="H283" s="13">
        <f>VLOOKUP($A283,'DB1'!$C:$Q,10,0)</f>
        <v>46387</v>
      </c>
    </row>
    <row r="284" spans="1:8" ht="33">
      <c r="A284" s="20" t="s">
        <v>1851</v>
      </c>
      <c r="B284" s="12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2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2" t="str">
        <f>VLOOKUP($A284,'DB1'!$C:$Q,14,0)</f>
        <v>Carbon Neutrality and Energy</v>
      </c>
      <c r="F284" s="12" t="str">
        <f>VLOOKUP($A284,'DB1'!$C:$Q,15,0)</f>
        <v>Ecology</v>
      </c>
      <c r="G284" s="13">
        <f>VLOOKUP($A284,'DB1'!$C:$Q,9,0)</f>
        <v>46023</v>
      </c>
      <c r="H284" s="13">
        <f>VLOOKUP($A284,'DB1'!$C:$Q,10,0)</f>
        <v>46387</v>
      </c>
    </row>
    <row r="285" spans="1:8" ht="33">
      <c r="A285" s="20" t="s">
        <v>1853</v>
      </c>
      <c r="B285" s="12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2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2" t="str">
        <f>VLOOKUP($A285,'DB1'!$C:$Q,14,0)</f>
        <v>Environmental Assessment</v>
      </c>
      <c r="F285" s="12" t="str">
        <f>VLOOKUP($A285,'DB1'!$C:$Q,15,0)</f>
        <v>Marine Environment</v>
      </c>
      <c r="G285" s="13">
        <f>VLOOKUP($A285,'DB1'!$C:$Q,9,0)</f>
        <v>46023</v>
      </c>
      <c r="H285" s="13">
        <f>VLOOKUP($A285,'DB1'!$C:$Q,10,0)</f>
        <v>46387</v>
      </c>
    </row>
    <row r="286" spans="1:8" ht="33">
      <c r="A286" s="20" t="s">
        <v>1855</v>
      </c>
      <c r="B286" s="12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2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2" t="str">
        <f>VLOOKUP($A286,'DB1'!$C:$Q,14,0)</f>
        <v>Carbon Neutrality and Energy</v>
      </c>
      <c r="F286" s="12" t="str">
        <f>VLOOKUP($A286,'DB1'!$C:$Q,15,0)</f>
        <v>AI and Environmental Informatics</v>
      </c>
      <c r="G286" s="13">
        <f>VLOOKUP($A286,'DB1'!$C:$Q,9,0)</f>
        <v>46023</v>
      </c>
      <c r="H286" s="13">
        <f>VLOOKUP($A286,'DB1'!$C:$Q,10,0)</f>
        <v>46387</v>
      </c>
    </row>
    <row r="287" spans="1:8" ht="33">
      <c r="A287" s="20" t="s">
        <v>1856</v>
      </c>
      <c r="B287" s="12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2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2" t="str">
        <f>VLOOKUP($A287,'DB1'!$C:$Q,14,0)</f>
        <v>Water Management</v>
      </c>
      <c r="F287" s="12" t="str">
        <f>VLOOKUP($A287,'DB1'!$C:$Q,15,0)</f>
        <v>Ecology</v>
      </c>
      <c r="G287" s="13">
        <f>VLOOKUP($A287,'DB1'!$C:$Q,9,0)</f>
        <v>46023</v>
      </c>
      <c r="H287" s="13">
        <f>VLOOKUP($A287,'DB1'!$C:$Q,10,0)</f>
        <v>46387</v>
      </c>
    </row>
    <row r="288" spans="1:8" ht="33">
      <c r="A288" s="20" t="s">
        <v>1858</v>
      </c>
      <c r="B288" s="12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2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2" t="str">
        <f>VLOOKUP($A288,'DB1'!$C:$Q,14,0)</f>
        <v>Water Management</v>
      </c>
      <c r="F288" s="12" t="str">
        <f>VLOOKUP($A288,'DB1'!$C:$Q,15,0)</f>
        <v>Climate Adaptation</v>
      </c>
      <c r="G288" s="13">
        <f>VLOOKUP($A288,'DB1'!$C:$Q,9,0)</f>
        <v>46023</v>
      </c>
      <c r="H288" s="13">
        <f>VLOOKUP($A288,'DB1'!$C:$Q,10,0)</f>
        <v>46387</v>
      </c>
    </row>
    <row r="289" spans="1:8" ht="33">
      <c r="A289" s="20" t="s">
        <v>1860</v>
      </c>
      <c r="B289" s="12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2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2" t="str">
        <f>VLOOKUP($A289,'DB1'!$C:$Q,14,0)</f>
        <v>Carbon Neutrality and Energy</v>
      </c>
      <c r="F289" s="12" t="str">
        <f>VLOOKUP($A289,'DB1'!$C:$Q,15,0)</f>
        <v>Climate Adaptation</v>
      </c>
      <c r="G289" s="13">
        <f>VLOOKUP($A289,'DB1'!$C:$Q,9,0)</f>
        <v>46023</v>
      </c>
      <c r="H289" s="13">
        <f>VLOOKUP($A289,'DB1'!$C:$Q,10,0)</f>
        <v>46387</v>
      </c>
    </row>
    <row r="290" spans="1:8" ht="33">
      <c r="A290" s="20" t="s">
        <v>1862</v>
      </c>
      <c r="B290" s="12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2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2" t="str">
        <f>VLOOKUP($A290,'DB1'!$C:$Q,14,0)</f>
        <v>Marine Environment</v>
      </c>
      <c r="F290" s="12" t="str">
        <f>VLOOKUP($A290,'DB1'!$C:$Q,15,0)</f>
        <v>Environmental Health</v>
      </c>
      <c r="G290" s="13">
        <f>VLOOKUP($A290,'DB1'!$C:$Q,9,0)</f>
        <v>46023</v>
      </c>
      <c r="H290" s="13">
        <f>VLOOKUP($A290,'DB1'!$C:$Q,10,0)</f>
        <v>46387</v>
      </c>
    </row>
    <row r="291" spans="1:8" ht="33">
      <c r="A291" s="20" t="s">
        <v>1866</v>
      </c>
      <c r="B291" s="12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2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2" t="str">
        <f>VLOOKUP($A291,'DB1'!$C:$Q,14,0)</f>
        <v>Climate Adaptation</v>
      </c>
      <c r="F291" s="12" t="str">
        <f>VLOOKUP($A291,'DB1'!$C:$Q,15,0)</f>
        <v>Marine Environment</v>
      </c>
      <c r="G291" s="13">
        <f>VLOOKUP($A291,'DB1'!$C:$Q,9,0)</f>
        <v>46023</v>
      </c>
      <c r="H291" s="13">
        <f>VLOOKUP($A291,'DB1'!$C:$Q,10,0)</f>
        <v>46387</v>
      </c>
    </row>
    <row r="292" spans="1:8" ht="33">
      <c r="A292" s="20" t="s">
        <v>1868</v>
      </c>
      <c r="B292" s="12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2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2" t="str">
        <f>VLOOKUP($A292,'DB1'!$C:$Q,14,0)</f>
        <v>Environmental Economics</v>
      </c>
      <c r="F292" s="12" t="str">
        <f>VLOOKUP($A292,'DB1'!$C:$Q,15,0)</f>
        <v>Ecology</v>
      </c>
      <c r="G292" s="13">
        <f>VLOOKUP($A292,'DB1'!$C:$Q,9,0)</f>
        <v>46023</v>
      </c>
      <c r="H292" s="13">
        <f>VLOOKUP($A292,'DB1'!$C:$Q,10,0)</f>
        <v>46387</v>
      </c>
    </row>
    <row r="293" spans="1:8" ht="33">
      <c r="A293" s="20" t="s">
        <v>1870</v>
      </c>
      <c r="B293" s="12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2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2" t="str">
        <f>VLOOKUP($A293,'DB1'!$C:$Q,14,0)</f>
        <v>Climate Adaptation</v>
      </c>
      <c r="F293" s="12" t="str">
        <f>VLOOKUP($A293,'DB1'!$C:$Q,15,0)</f>
        <v>Socio-Environmental Interface</v>
      </c>
      <c r="G293" s="13">
        <f>VLOOKUP($A293,'DB1'!$C:$Q,9,0)</f>
        <v>46023</v>
      </c>
      <c r="H293" s="13">
        <f>VLOOKUP($A293,'DB1'!$C:$Q,10,0)</f>
        <v>46387</v>
      </c>
    </row>
    <row r="294" spans="1:8" ht="33">
      <c r="A294" s="20" t="s">
        <v>1872</v>
      </c>
      <c r="B294" s="12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2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2" t="str">
        <f>VLOOKUP($A294,'DB1'!$C:$Q,14,0)</f>
        <v>Land and Urban Environment</v>
      </c>
      <c r="F294" s="12" t="str">
        <f>VLOOKUP($A294,'DB1'!$C:$Q,15,0)</f>
        <v>Carbon Neutrality and Energy</v>
      </c>
      <c r="G294" s="13">
        <f>VLOOKUP($A294,'DB1'!$C:$Q,9,0)</f>
        <v>46023</v>
      </c>
      <c r="H294" s="13">
        <f>VLOOKUP($A294,'DB1'!$C:$Q,10,0)</f>
        <v>46387</v>
      </c>
    </row>
    <row r="295" spans="1:8" ht="33">
      <c r="A295" s="20" t="s">
        <v>1874</v>
      </c>
      <c r="B295" s="12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2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2" t="str">
        <f>VLOOKUP($A295,'DB1'!$C:$Q,14,0)</f>
        <v>Water Management</v>
      </c>
      <c r="F295" s="12">
        <f>VLOOKUP($A295,'DB1'!$C:$Q,15,0)</f>
        <v>0</v>
      </c>
      <c r="G295" s="13">
        <f>VLOOKUP($A295,'DB1'!$C:$Q,9,0)</f>
        <v>46023</v>
      </c>
      <c r="H295" s="13">
        <f>VLOOKUP($A295,'DB1'!$C:$Q,10,0)</f>
        <v>46387</v>
      </c>
    </row>
    <row r="296" spans="1:8" ht="49.5">
      <c r="A296" s="20" t="s">
        <v>1876</v>
      </c>
      <c r="B296" s="12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2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2" t="str">
        <f>VLOOKUP($A296,'DB1'!$C:$Q,14,0)</f>
        <v>Carbon Neutrality and Energy</v>
      </c>
      <c r="F296" s="12" t="str">
        <f>VLOOKUP($A296,'DB1'!$C:$Q,15,0)</f>
        <v>International Environmental Collaboration</v>
      </c>
      <c r="G296" s="13">
        <f>VLOOKUP($A296,'DB1'!$C:$Q,9,0)</f>
        <v>46023</v>
      </c>
      <c r="H296" s="13">
        <f>VLOOKUP($A296,'DB1'!$C:$Q,10,0)</f>
        <v>46387</v>
      </c>
    </row>
    <row r="297" spans="1:8" ht="33">
      <c r="A297" s="20" t="s">
        <v>1878</v>
      </c>
      <c r="B297" s="12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2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2" t="str">
        <f>VLOOKUP($A297,'DB1'!$C:$Q,14,0)</f>
        <v>Carbon Neutrality and Energy</v>
      </c>
      <c r="F297" s="12" t="str">
        <f>VLOOKUP($A297,'DB1'!$C:$Q,15,0)</f>
        <v>Land and Urban Environment</v>
      </c>
      <c r="G297" s="13">
        <f>VLOOKUP($A297,'DB1'!$C:$Q,9,0)</f>
        <v>46023</v>
      </c>
      <c r="H297" s="13">
        <f>VLOOKUP($A297,'DB1'!$C:$Q,10,0)</f>
        <v>46387</v>
      </c>
    </row>
    <row r="298" spans="1:8" ht="33">
      <c r="A298" s="20" t="s">
        <v>1880</v>
      </c>
      <c r="B298" s="12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2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2" t="str">
        <f>VLOOKUP($A298,'DB1'!$C:$Q,14,0)</f>
        <v>AI and Environmental Informatics</v>
      </c>
      <c r="F298" s="12" t="str">
        <f>VLOOKUP($A298,'DB1'!$C:$Q,15,0)</f>
        <v>Ecology</v>
      </c>
      <c r="G298" s="13">
        <f>VLOOKUP($A298,'DB1'!$C:$Q,9,0)</f>
        <v>46023</v>
      </c>
      <c r="H298" s="13">
        <f>VLOOKUP($A298,'DB1'!$C:$Q,10,0)</f>
        <v>46387</v>
      </c>
    </row>
    <row r="299" spans="1:8" ht="33">
      <c r="A299" s="20" t="s">
        <v>1882</v>
      </c>
      <c r="B299" s="12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2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2" t="str">
        <f>VLOOKUP($A299,'DB1'!$C:$Q,14,0)</f>
        <v>Land and Urban Environment</v>
      </c>
      <c r="F299" s="12" t="str">
        <f>VLOOKUP($A299,'DB1'!$C:$Q,15,0)</f>
        <v>AI and Environmental Informatics</v>
      </c>
      <c r="G299" s="13">
        <f>VLOOKUP($A299,'DB1'!$C:$Q,9,0)</f>
        <v>46023</v>
      </c>
      <c r="H299" s="13">
        <f>VLOOKUP($A299,'DB1'!$C:$Q,10,0)</f>
        <v>46387</v>
      </c>
    </row>
    <row r="300" spans="1:8" ht="33">
      <c r="A300" s="20" t="s">
        <v>1884</v>
      </c>
      <c r="B300" s="12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2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2" t="str">
        <f>VLOOKUP($A300,'DB1'!$C:$Q,14,0)</f>
        <v>Water Management</v>
      </c>
      <c r="F300" s="12">
        <f>VLOOKUP($A300,'DB1'!$C:$Q,15,0)</f>
        <v>0</v>
      </c>
      <c r="G300" s="13">
        <f>VLOOKUP($A300,'DB1'!$C:$Q,9,0)</f>
        <v>46023</v>
      </c>
      <c r="H300" s="13">
        <f>VLOOKUP($A300,'DB1'!$C:$Q,10,0)</f>
        <v>46387</v>
      </c>
    </row>
    <row r="301" spans="1:8" ht="33">
      <c r="A301" s="20" t="s">
        <v>1889</v>
      </c>
      <c r="B301" s="12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2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2" t="str">
        <f>VLOOKUP($A301,'DB1'!$C:$Q,14,0)</f>
        <v>Environmental Health</v>
      </c>
      <c r="F301" s="12" t="str">
        <f>VLOOKUP($A301,'DB1'!$C:$Q,15,0)</f>
        <v>Atmospheric Environment</v>
      </c>
      <c r="G301" s="13">
        <f>VLOOKUP($A301,'DB1'!$C:$Q,9,0)</f>
        <v>46023</v>
      </c>
      <c r="H301" s="13">
        <f>VLOOKUP($A301,'DB1'!$C:$Q,10,0)</f>
        <v>46387</v>
      </c>
    </row>
    <row r="302" spans="1:8" ht="33">
      <c r="A302" s="20" t="s">
        <v>1891</v>
      </c>
      <c r="B302" s="12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2" t="str">
        <f>VLOOKUP($A302,'DB1'!$C:$Q,12,0)</f>
        <v>Core Technology Development for Groundwater Dam Integration to Diversify Water Resources (Year 2)</v>
      </c>
      <c r="D302" s="11" t="str">
        <f>VLOOKUP($A302,'DB1'!$C:$Q,13,0)</f>
        <v>Hyun, Yunjung</v>
      </c>
      <c r="E302" s="12" t="str">
        <f>VLOOKUP($A302,'DB1'!$C:$Q,14,0)</f>
        <v>Water Management</v>
      </c>
      <c r="F302" s="12" t="str">
        <f>VLOOKUP($A302,'DB1'!$C:$Q,15,0)</f>
        <v>Climate Adaptation</v>
      </c>
      <c r="G302" s="13">
        <f>VLOOKUP($A302,'DB1'!$C:$Q,9,0)</f>
        <v>46023</v>
      </c>
      <c r="H302" s="13">
        <f>VLOOKUP($A302,'DB1'!$C:$Q,10,0)</f>
        <v>46387</v>
      </c>
    </row>
    <row r="303" spans="1:8" ht="33">
      <c r="A303" s="20" t="s">
        <v>1892</v>
      </c>
      <c r="B303" s="12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2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2" t="str">
        <f>VLOOKUP($A303,'DB1'!$C:$Q,14,0)</f>
        <v>Environmental Health</v>
      </c>
      <c r="F303" s="12" t="str">
        <f>VLOOKUP($A303,'DB1'!$C:$Q,15,0)</f>
        <v>AI and Environmental Informatics</v>
      </c>
      <c r="G303" s="13">
        <f>VLOOKUP($A303,'DB1'!$C:$Q,9,0)</f>
        <v>46023</v>
      </c>
      <c r="H303" s="13">
        <f>VLOOKUP($A303,'DB1'!$C:$Q,10,0)</f>
        <v>46387</v>
      </c>
    </row>
    <row r="304" spans="1:8" ht="49.5">
      <c r="A304" s="20" t="s">
        <v>1907</v>
      </c>
      <c r="B304" s="12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2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2" t="str">
        <f>VLOOKUP($A304,'DB1'!$C:$Q,14,0)</f>
        <v>International Environmental Collaboration</v>
      </c>
      <c r="F304" s="12">
        <f>VLOOKUP($A304,'DB1'!$C:$Q,15,0)</f>
        <v>0</v>
      </c>
      <c r="G304" s="13">
        <f>VLOOKUP($A304,'DB1'!$C:$Q,9,0)</f>
        <v>46023</v>
      </c>
      <c r="H304" s="13">
        <f>VLOOKUP($A304,'DB1'!$C:$Q,10,0)</f>
        <v>46387</v>
      </c>
    </row>
    <row r="305" spans="1:8" ht="33">
      <c r="A305" s="20" t="s">
        <v>1908</v>
      </c>
      <c r="B305" s="12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2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2" t="str">
        <f>VLOOKUP($A305,'DB1'!$C:$Q,14,0)</f>
        <v>Land and Urban Environment</v>
      </c>
      <c r="F305" s="12" t="str">
        <f>VLOOKUP($A305,'DB1'!$C:$Q,15,0)</f>
        <v>AI and Environmental Informatics</v>
      </c>
      <c r="G305" s="13">
        <f>VLOOKUP($A305,'DB1'!$C:$Q,9,0)</f>
        <v>46023</v>
      </c>
      <c r="H305" s="13">
        <f>VLOOKUP($A305,'DB1'!$C:$Q,10,0)</f>
        <v>46387</v>
      </c>
    </row>
    <row r="306" spans="1:8" ht="33">
      <c r="A306" s="20" t="s">
        <v>1909</v>
      </c>
      <c r="B306" s="12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2" t="str">
        <f>VLOOKUP($A306,'DB1'!$C:$Q,12,0)</f>
        <v>KEI Environmental Policy Education Center</v>
      </c>
      <c r="D306" s="11" t="str">
        <f>VLOOKUP($A306,'DB1'!$C:$Q,13,0)</f>
        <v>Kim, Dokyun</v>
      </c>
      <c r="E306" s="12" t="str">
        <f>VLOOKUP($A306,'DB1'!$C:$Q,14,0)</f>
        <v>Socio-Environmental Interface</v>
      </c>
      <c r="F306" s="12" t="str">
        <f>VLOOKUP($A306,'DB1'!$C:$Q,15,0)</f>
        <v>AI and Environmental Informatics</v>
      </c>
      <c r="G306" s="13">
        <f>VLOOKUP($A306,'DB1'!$C:$Q,9,0)</f>
        <v>46023</v>
      </c>
      <c r="H306" s="13">
        <f>VLOOKUP($A306,'DB1'!$C:$Q,10,0)</f>
        <v>46387</v>
      </c>
    </row>
    <row r="307" spans="1:8">
      <c r="A307" s="20" t="s">
        <v>1910</v>
      </c>
      <c r="B307" s="12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2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2" t="str">
        <f>VLOOKUP($A307,'DB1'!$C:$Q,14,0)</f>
        <v>Climate Adaptation</v>
      </c>
      <c r="F307" s="12">
        <f>VLOOKUP($A307,'DB1'!$C:$Q,15,0)</f>
        <v>0</v>
      </c>
      <c r="G307" s="13">
        <f>VLOOKUP($A307,'DB1'!$C:$Q,9,0)</f>
        <v>46023</v>
      </c>
      <c r="H307" s="13">
        <f>VLOOKUP($A307,'DB1'!$C:$Q,10,0)</f>
        <v>46387</v>
      </c>
    </row>
    <row r="308" spans="1:8" ht="33">
      <c r="A308" s="20" t="s">
        <v>1911</v>
      </c>
      <c r="B308" s="12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2" t="str">
        <f>VLOOKUP($A308,'DB1'!$C:$Q,12,0)</f>
        <v>Environmental Assessment Monitoring Project</v>
      </c>
      <c r="D308" s="11" t="str">
        <f>VLOOKUP($A308,'DB1'!$C:$Q,13,0)</f>
        <v>Lee, Sangbum</v>
      </c>
      <c r="E308" s="12" t="str">
        <f>VLOOKUP($A308,'DB1'!$C:$Q,14,0)</f>
        <v>Environmental Assessment</v>
      </c>
      <c r="F308" s="12">
        <f>VLOOKUP($A308,'DB1'!$C:$Q,15,0)</f>
        <v>0</v>
      </c>
      <c r="G308" s="13">
        <f>VLOOKUP($A308,'DB1'!$C:$Q,9,0)</f>
        <v>46023</v>
      </c>
      <c r="H308" s="13">
        <f>VLOOKUP($A308,'DB1'!$C:$Q,10,0)</f>
        <v>46387</v>
      </c>
    </row>
    <row r="309" spans="1:8" ht="33">
      <c r="A309" s="20" t="s">
        <v>1912</v>
      </c>
      <c r="B309" s="12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2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2" t="str">
        <f>VLOOKUP($A309,'DB1'!$C:$Q,14,0)</f>
        <v>Environmental Assessment</v>
      </c>
      <c r="F309" s="12" t="str">
        <f>VLOOKUP($A309,'DB1'!$C:$Q,15,0)</f>
        <v>Climate Adaptation</v>
      </c>
      <c r="G309" s="13">
        <f>VLOOKUP($A309,'DB1'!$C:$Q,9,0)</f>
        <v>46023</v>
      </c>
      <c r="H309" s="13">
        <f>VLOOKUP($A309,'DB1'!$C:$Q,10,0)</f>
        <v>46387</v>
      </c>
    </row>
    <row r="310" spans="1:8" ht="33">
      <c r="A310" s="20" t="s">
        <v>1913</v>
      </c>
      <c r="B310" s="12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2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2" t="str">
        <f>VLOOKUP($A310,'DB1'!$C:$Q,14,0)</f>
        <v>Water Management</v>
      </c>
      <c r="F310" s="12" t="str">
        <f>VLOOKUP($A310,'DB1'!$C:$Q,15,0)</f>
        <v>Environmental Economics</v>
      </c>
      <c r="G310" s="13">
        <f>VLOOKUP($A310,'DB1'!$C:$Q,9,0)</f>
        <v>46023</v>
      </c>
      <c r="H310" s="13">
        <f>VLOOKUP($A310,'DB1'!$C:$Q,10,0)</f>
        <v>46387</v>
      </c>
    </row>
    <row r="311" spans="1:8" ht="33">
      <c r="A311" s="20" t="s">
        <v>1914</v>
      </c>
      <c r="B311" s="12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2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2" t="str">
        <f>VLOOKUP($A311,'DB1'!$C:$Q,14,0)</f>
        <v>Circular Economy</v>
      </c>
      <c r="F311" s="12">
        <f>VLOOKUP($A311,'DB1'!$C:$Q,15,0)</f>
        <v>0</v>
      </c>
      <c r="G311" s="13">
        <f>VLOOKUP($A311,'DB1'!$C:$Q,9,0)</f>
        <v>46023</v>
      </c>
      <c r="H311" s="13">
        <f>VLOOKUP($A311,'DB1'!$C:$Q,10,0)</f>
        <v>46387</v>
      </c>
    </row>
    <row r="312" spans="1:8" ht="33">
      <c r="A312" s="20" t="s">
        <v>1915</v>
      </c>
      <c r="B312" s="12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2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2" t="str">
        <f>VLOOKUP($A312,'DB1'!$C:$Q,14,0)</f>
        <v>Ecology</v>
      </c>
      <c r="F312" s="12" t="str">
        <f>VLOOKUP($A312,'DB1'!$C:$Q,15,0)</f>
        <v>Sustainable Development</v>
      </c>
      <c r="G312" s="13">
        <f>VLOOKUP($A312,'DB1'!$C:$Q,9,0)</f>
        <v>46023</v>
      </c>
      <c r="H312" s="13">
        <f>VLOOKUP($A312,'DB1'!$C:$Q,10,0)</f>
        <v>46387</v>
      </c>
    </row>
    <row r="313" spans="1:8" ht="33">
      <c r="A313" s="20" t="s">
        <v>1916</v>
      </c>
      <c r="B313" s="12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2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2" t="str">
        <f>VLOOKUP($A313,'DB1'!$C:$Q,14,0)</f>
        <v>Environmental Assessment</v>
      </c>
      <c r="F313" s="12" t="str">
        <f>VLOOKUP($A313,'DB1'!$C:$Q,15,0)</f>
        <v>AI and Environmental Informatics</v>
      </c>
      <c r="G313" s="13">
        <f>VLOOKUP($A313,'DB1'!$C:$Q,9,0)</f>
        <v>46023</v>
      </c>
      <c r="H313" s="13">
        <f>VLOOKUP($A313,'DB1'!$C:$Q,10,0)</f>
        <v>46387</v>
      </c>
    </row>
    <row r="314" spans="1:8" ht="33">
      <c r="A314" s="20" t="s">
        <v>1917</v>
      </c>
      <c r="B314" s="12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2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2" t="str">
        <f>VLOOKUP($A314,'DB1'!$C:$Q,14,0)</f>
        <v>Atmospheric Environment</v>
      </c>
      <c r="F314" s="12" t="str">
        <f>VLOOKUP($A314,'DB1'!$C:$Q,15,0)</f>
        <v>Environmental Health</v>
      </c>
      <c r="G314" s="13">
        <f>VLOOKUP($A314,'DB1'!$C:$Q,9,0)</f>
        <v>46023</v>
      </c>
      <c r="H314" s="13">
        <f>VLOOKUP($A314,'DB1'!$C:$Q,10,0)</f>
        <v>46387</v>
      </c>
    </row>
    <row r="315" spans="1:8" ht="33">
      <c r="A315" s="20" t="s">
        <v>1918</v>
      </c>
      <c r="B315" s="12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2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2" t="str">
        <f>VLOOKUP($A315,'DB1'!$C:$Q,14,0)</f>
        <v>Environmental Assessment</v>
      </c>
      <c r="F315" s="12" t="str">
        <f>VLOOKUP($A315,'DB1'!$C:$Q,15,0)</f>
        <v>Carbon Neutrality and Energy</v>
      </c>
      <c r="G315" s="13">
        <f>VLOOKUP($A315,'DB1'!$C:$Q,9,0)</f>
        <v>46023</v>
      </c>
      <c r="H315" s="13">
        <f>VLOOKUP($A315,'DB1'!$C:$Q,10,0)</f>
        <v>46387</v>
      </c>
    </row>
    <row r="316" spans="1:8" ht="33">
      <c r="A316" s="20" t="s">
        <v>1919</v>
      </c>
      <c r="B316" s="12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2" t="str">
        <f>VLOOKUP($A316,'DB1'!$C:$Q,12,0)</f>
        <v>Collaborative Research on the Green Economy</v>
      </c>
      <c r="D316" s="11" t="str">
        <f>VLOOKUP($A316,'DB1'!$C:$Q,13,0)</f>
        <v>Suh, Yang-won</v>
      </c>
      <c r="E316" s="12" t="str">
        <f>VLOOKUP($A316,'DB1'!$C:$Q,14,0)</f>
        <v>Environmental Economics</v>
      </c>
      <c r="F316" s="12" t="str">
        <f>VLOOKUP($A316,'DB1'!$C:$Q,15,0)</f>
        <v>Sustainable Development</v>
      </c>
      <c r="G316" s="13">
        <f>VLOOKUP($A316,'DB1'!$C:$Q,9,0)</f>
        <v>46023</v>
      </c>
      <c r="H316" s="13">
        <f>VLOOKUP($A316,'DB1'!$C:$Q,10,0)</f>
        <v>46387</v>
      </c>
    </row>
    <row r="317" spans="1:8" ht="33">
      <c r="A317" s="20" t="s">
        <v>1920</v>
      </c>
      <c r="B317" s="12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2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2" t="str">
        <f>VLOOKUP($A317,'DB1'!$C:$Q,14,0)</f>
        <v>Land and Urban Environment</v>
      </c>
      <c r="F317" s="12" t="str">
        <f>VLOOKUP($A317,'DB1'!$C:$Q,15,0)</f>
        <v>Sustainable Development</v>
      </c>
      <c r="G317" s="13">
        <f>VLOOKUP($A317,'DB1'!$C:$Q,9,0)</f>
        <v>46023</v>
      </c>
      <c r="H317" s="13">
        <f>VLOOKUP($A317,'DB1'!$C:$Q,10,0)</f>
        <v>46387</v>
      </c>
    </row>
    <row r="318" spans="1:8" ht="33">
      <c r="A318" s="20" t="s">
        <v>1922</v>
      </c>
      <c r="B318" s="12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2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2" t="str">
        <f>VLOOKUP($A318,'DB1'!$C:$Q,14,0)</f>
        <v>Circular Economy</v>
      </c>
      <c r="F318" s="12" t="str">
        <f>VLOOKUP($A318,'DB1'!$C:$Q,15,0)</f>
        <v>AI and Environmental Informatics</v>
      </c>
      <c r="G318" s="13">
        <f>VLOOKUP($A318,'DB1'!$C:$Q,9,0)</f>
        <v>46023</v>
      </c>
      <c r="H318" s="13">
        <f>VLOOKUP($A318,'DB1'!$C:$Q,10,0)</f>
        <v>46326</v>
      </c>
    </row>
    <row r="319" spans="1:8" ht="33">
      <c r="A319" s="20" t="s">
        <v>1923</v>
      </c>
      <c r="B319" s="12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2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2" t="str">
        <f>VLOOKUP($A319,'DB1'!$C:$Q,14,0)</f>
        <v>Ecology</v>
      </c>
      <c r="F319" s="12" t="str">
        <f>VLOOKUP($A319,'DB1'!$C:$Q,15,0)</f>
        <v>Socio-Environmental Interface</v>
      </c>
      <c r="G319" s="13">
        <f>VLOOKUP($A319,'DB1'!$C:$Q,9,0)</f>
        <v>46023</v>
      </c>
      <c r="H319" s="13">
        <f>VLOOKUP($A319,'DB1'!$C:$Q,10,0)</f>
        <v>46326</v>
      </c>
    </row>
    <row r="320" spans="1:8" ht="33">
      <c r="A320" s="20" t="s">
        <v>1924</v>
      </c>
      <c r="B320" s="12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2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2" t="str">
        <f>VLOOKUP($A320,'DB1'!$C:$Q,14,0)</f>
        <v>Environmental Health</v>
      </c>
      <c r="F320" s="12" t="str">
        <f>VLOOKUP($A320,'DB1'!$C:$Q,15,0)</f>
        <v>Ecology</v>
      </c>
      <c r="G320" s="13">
        <f>VLOOKUP($A320,'DB1'!$C:$Q,9,0)</f>
        <v>46023</v>
      </c>
      <c r="H320" s="13">
        <f>VLOOKUP($A320,'DB1'!$C:$Q,10,0)</f>
        <v>46326</v>
      </c>
    </row>
    <row r="321" spans="1:8">
      <c r="A321" s="20" t="s">
        <v>1925</v>
      </c>
      <c r="B321" s="12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2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2" t="str">
        <f>VLOOKUP($A321,'DB1'!$C:$Q,14,0)</f>
        <v>Water Management</v>
      </c>
      <c r="F321" s="12" t="str">
        <f>VLOOKUP($A321,'DB1'!$C:$Q,15,0)</f>
        <v>Climate Adaptation</v>
      </c>
      <c r="G321" s="13">
        <f>VLOOKUP($A321,'DB1'!$C:$Q,9,0)</f>
        <v>46023</v>
      </c>
      <c r="H321" s="13">
        <f>VLOOKUP($A321,'DB1'!$C:$Q,10,0)</f>
        <v>46387</v>
      </c>
    </row>
    <row r="322" spans="1:8" ht="33">
      <c r="A322" s="20" t="s">
        <v>1926</v>
      </c>
      <c r="B322" s="12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2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2" t="str">
        <f>VLOOKUP($A322,'DB1'!$C:$Q,14,0)</f>
        <v>Environmental Assessment</v>
      </c>
      <c r="F322" s="12" t="str">
        <f>VLOOKUP($A322,'DB1'!$C:$Q,15,0)</f>
        <v>Socio-Environmental Interface</v>
      </c>
      <c r="G322" s="13">
        <f>VLOOKUP($A322,'DB1'!$C:$Q,9,0)</f>
        <v>46023</v>
      </c>
      <c r="H322" s="13">
        <f>VLOOKUP($A322,'DB1'!$C:$Q,10,0)</f>
        <v>46326</v>
      </c>
    </row>
    <row r="323" spans="1:8" ht="33">
      <c r="A323" s="20" t="s">
        <v>1928</v>
      </c>
      <c r="B323" s="12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2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2" t="str">
        <f>VLOOKUP($A323,'DB1'!$C:$Q,14,0)</f>
        <v>Carbon Neutrality and Energy</v>
      </c>
      <c r="F323" s="12" t="str">
        <f>VLOOKUP($A323,'DB1'!$C:$Q,15,0)</f>
        <v>Environmental Economics</v>
      </c>
      <c r="G323" s="13">
        <f>VLOOKUP($A323,'DB1'!$C:$Q,9,0)</f>
        <v>46023</v>
      </c>
      <c r="H323" s="13">
        <f>VLOOKUP($A323,'DB1'!$C:$Q,10,0)</f>
        <v>46326</v>
      </c>
    </row>
    <row r="324" spans="1:8">
      <c r="A324" s="20" t="s">
        <v>1929</v>
      </c>
      <c r="B324" s="12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2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2" t="str">
        <f>VLOOKUP($A324,'DB1'!$C:$Q,14,0)</f>
        <v>Circular Economy</v>
      </c>
      <c r="F324" s="12">
        <f>VLOOKUP($A324,'DB1'!$C:$Q,15,0)</f>
        <v>0</v>
      </c>
      <c r="G324" s="13">
        <f>VLOOKUP($A324,'DB1'!$C:$Q,9,0)</f>
        <v>46023</v>
      </c>
      <c r="H324" s="13">
        <f>VLOOKUP($A324,'DB1'!$C:$Q,10,0)</f>
        <v>46326</v>
      </c>
    </row>
    <row r="325" spans="1:8">
      <c r="A325" s="20" t="s">
        <v>1930</v>
      </c>
      <c r="B325" s="12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2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2" t="str">
        <f>VLOOKUP($A325,'DB1'!$C:$Q,14,0)</f>
        <v>Climate Adaptation</v>
      </c>
      <c r="F325" s="12">
        <f>VLOOKUP($A325,'DB1'!$C:$Q,15,0)</f>
        <v>0</v>
      </c>
      <c r="G325" s="13">
        <f>VLOOKUP($A325,'DB1'!$C:$Q,9,0)</f>
        <v>46023</v>
      </c>
      <c r="H325" s="13">
        <f>VLOOKUP($A325,'DB1'!$C:$Q,10,0)</f>
        <v>46326</v>
      </c>
    </row>
    <row r="326" spans="1:8" ht="33">
      <c r="A326" s="20" t="s">
        <v>1931</v>
      </c>
      <c r="B326" s="12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2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2" t="str">
        <f>VLOOKUP($A326,'DB1'!$C:$Q,14,0)</f>
        <v>Circular Economy</v>
      </c>
      <c r="F326" s="12" t="str">
        <f>VLOOKUP($A326,'DB1'!$C:$Q,15,0)</f>
        <v>Environmental Economics</v>
      </c>
      <c r="G326" s="13">
        <f>VLOOKUP($A326,'DB1'!$C:$Q,9,0)</f>
        <v>46023</v>
      </c>
      <c r="H326" s="13">
        <f>VLOOKUP($A326,'DB1'!$C:$Q,10,0)</f>
        <v>46326</v>
      </c>
    </row>
    <row r="327" spans="1:8" ht="33">
      <c r="A327" s="20" t="s">
        <v>1934</v>
      </c>
      <c r="B327" s="12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2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2" t="str">
        <f>VLOOKUP($A327,'DB1'!$C:$Q,14,0)</f>
        <v>Carbon Neutrality and Energy</v>
      </c>
      <c r="F327" s="12" t="str">
        <f>VLOOKUP($A327,'DB1'!$C:$Q,15,0)</f>
        <v>Socio-Environmental Interface</v>
      </c>
      <c r="G327" s="13">
        <f>VLOOKUP($A327,'DB1'!$C:$Q,9,0)</f>
        <v>46023</v>
      </c>
      <c r="H327" s="13">
        <f>VLOOKUP($A327,'DB1'!$C:$Q,10,0)</f>
        <v>46326</v>
      </c>
    </row>
    <row r="328" spans="1:8" ht="33">
      <c r="A328" s="20" t="s">
        <v>1935</v>
      </c>
      <c r="B328" s="12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2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2" t="str">
        <f>VLOOKUP($A328,'DB1'!$C:$Q,14,0)</f>
        <v>Environmental Economics</v>
      </c>
      <c r="F328" s="12" t="str">
        <f>VLOOKUP($A328,'DB1'!$C:$Q,15,0)</f>
        <v>Environmental Health</v>
      </c>
      <c r="G328" s="13">
        <f>VLOOKUP($A328,'DB1'!$C:$Q,9,0)</f>
        <v>46023</v>
      </c>
      <c r="H328" s="13">
        <f>VLOOKUP($A328,'DB1'!$C:$Q,10,0)</f>
        <v>46326</v>
      </c>
    </row>
    <row r="329" spans="1:8" ht="33">
      <c r="A329" s="20" t="s">
        <v>1936</v>
      </c>
      <c r="B329" s="12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2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2" t="str">
        <f>VLOOKUP($A329,'DB1'!$C:$Q,14,0)</f>
        <v>Water Management</v>
      </c>
      <c r="F329" s="12">
        <f>VLOOKUP($A329,'DB1'!$C:$Q,15,0)</f>
        <v>0</v>
      </c>
      <c r="G329" s="13">
        <f>VLOOKUP($A329,'DB1'!$C:$Q,9,0)</f>
        <v>46023</v>
      </c>
      <c r="H329" s="13">
        <f>VLOOKUP($A329,'DB1'!$C:$Q,10,0)</f>
        <v>46387</v>
      </c>
    </row>
    <row r="330" spans="1:8" ht="33">
      <c r="A330" s="20" t="s">
        <v>1937</v>
      </c>
      <c r="B330" s="12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2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2" t="str">
        <f>VLOOKUP($A330,'DB1'!$C:$Q,14,0)</f>
        <v>Ecology</v>
      </c>
      <c r="F330" s="12" t="str">
        <f>VLOOKUP($A330,'DB1'!$C:$Q,15,0)</f>
        <v>Water Management</v>
      </c>
      <c r="G330" s="13">
        <f>VLOOKUP($A330,'DB1'!$C:$Q,9,0)</f>
        <v>46023</v>
      </c>
      <c r="H330" s="13">
        <f>VLOOKUP($A330,'DB1'!$C:$Q,10,0)</f>
        <v>46326</v>
      </c>
    </row>
    <row r="331" spans="1:8" ht="33">
      <c r="A331" s="20" t="s">
        <v>1938</v>
      </c>
      <c r="B331" s="12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2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2" t="str">
        <f>VLOOKUP($A331,'DB1'!$C:$Q,14,0)</f>
        <v>Ecology</v>
      </c>
      <c r="F331" s="12" t="str">
        <f>VLOOKUP($A331,'DB1'!$C:$Q,15,0)</f>
        <v>Land and Urban Environment</v>
      </c>
      <c r="G331" s="13">
        <f>VLOOKUP($A331,'DB1'!$C:$Q,9,0)</f>
        <v>46023</v>
      </c>
      <c r="H331" s="13">
        <f>VLOOKUP($A331,'DB1'!$C:$Q,10,0)</f>
        <v>46326</v>
      </c>
    </row>
    <row r="332" spans="1:8" ht="33">
      <c r="A332" s="20" t="s">
        <v>1939</v>
      </c>
      <c r="B332" s="12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2" t="str">
        <f>VLOOKUP($A332,'DB1'!$C:$Q,12,0)</f>
        <v>Environmental Impact Assessment Review</v>
      </c>
      <c r="D332" s="11" t="str">
        <f>VLOOKUP($A332,'DB1'!$C:$Q,13,0)</f>
        <v>Lee, Sangbum</v>
      </c>
      <c r="E332" s="12" t="str">
        <f>VLOOKUP($A332,'DB1'!$C:$Q,14,0)</f>
        <v>Environmental Assessment</v>
      </c>
      <c r="F332" s="12">
        <f>VLOOKUP($A332,'DB1'!$C:$Q,15,0)</f>
        <v>0</v>
      </c>
      <c r="G332" s="13">
        <f>VLOOKUP($A332,'DB1'!$C:$Q,9,0)</f>
        <v>46023</v>
      </c>
      <c r="H332" s="13">
        <f>VLOOKUP($A332,'DB1'!$C:$Q,10,0)</f>
        <v>46387</v>
      </c>
    </row>
    <row r="333" spans="1:8" ht="33">
      <c r="A333" s="20" t="s">
        <v>1940</v>
      </c>
      <c r="B333" s="12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2" t="str">
        <f>VLOOKUP($A333,'DB1'!$C:$Q,12,0)</f>
        <v>Strategic Environmental Assessment Review</v>
      </c>
      <c r="D333" s="11" t="str">
        <f>VLOOKUP($A333,'DB1'!$C:$Q,13,0)</f>
        <v>Lee, Sangbum</v>
      </c>
      <c r="E333" s="12" t="str">
        <f>VLOOKUP($A333,'DB1'!$C:$Q,14,0)</f>
        <v>Environmental Assessment</v>
      </c>
      <c r="F333" s="12">
        <f>VLOOKUP($A333,'DB1'!$C:$Q,15,0)</f>
        <v>0</v>
      </c>
      <c r="G333" s="13">
        <f>VLOOKUP($A333,'DB1'!$C:$Q,9,0)</f>
        <v>46023</v>
      </c>
      <c r="H333" s="13">
        <f>VLOOKUP($A333,'DB1'!$C:$Q,10,0)</f>
        <v>46387</v>
      </c>
    </row>
    <row r="334" spans="1:8" ht="33">
      <c r="A334" s="20" t="s">
        <v>1941</v>
      </c>
      <c r="B334" s="12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2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2" t="str">
        <f>VLOOKUP($A334,'DB1'!$C:$Q,14,0)</f>
        <v>Atmospheric Environment</v>
      </c>
      <c r="F334" s="12" t="str">
        <f>VLOOKUP($A334,'DB1'!$C:$Q,15,0)</f>
        <v>AI and Environmental Informatics</v>
      </c>
      <c r="G334" s="13">
        <f>VLOOKUP($A334,'DB1'!$C:$Q,9,0)</f>
        <v>46023</v>
      </c>
      <c r="H334" s="13">
        <f>VLOOKUP($A334,'DB1'!$C:$Q,10,0)</f>
        <v>46387</v>
      </c>
    </row>
    <row r="335" spans="1:8" ht="33">
      <c r="A335" s="20" t="s">
        <v>1943</v>
      </c>
      <c r="B335" s="12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2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2" t="str">
        <f>VLOOKUP($A335,'DB1'!$C:$Q,14,0)</f>
        <v>Environmental Economics</v>
      </c>
      <c r="F335" s="12" t="str">
        <f>VLOOKUP($A335,'DB1'!$C:$Q,15,0)</f>
        <v>Carbon Neutrality and Energy</v>
      </c>
      <c r="G335" s="13">
        <f>VLOOKUP($A335,'DB1'!$C:$Q,9,0)</f>
        <v>46023</v>
      </c>
      <c r="H335" s="13">
        <f>VLOOKUP($A335,'DB1'!$C:$Q,10,0)</f>
        <v>46387</v>
      </c>
    </row>
    <row r="336" spans="1:8">
      <c r="A336" s="20" t="s">
        <v>1944</v>
      </c>
      <c r="B336" s="12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2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2" t="str">
        <f>VLOOKUP($A336,'DB1'!$C:$Q,14,0)</f>
        <v>Environmental Health</v>
      </c>
      <c r="F336" s="12">
        <f>VLOOKUP($A336,'DB1'!$C:$Q,15,0)</f>
        <v>0</v>
      </c>
      <c r="G336" s="13">
        <f>VLOOKUP($A336,'DB1'!$C:$Q,9,0)</f>
        <v>46023</v>
      </c>
      <c r="H336" s="13">
        <f>VLOOKUP($A336,'DB1'!$C:$Q,10,0)</f>
        <v>46387</v>
      </c>
    </row>
    <row r="337" spans="1:8" ht="33">
      <c r="A337" s="20" t="s">
        <v>1945</v>
      </c>
      <c r="B337" s="12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2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2" t="str">
        <f>VLOOKUP($A337,'DB1'!$C:$Q,14,0)</f>
        <v>Carbon Neutrality and Energy</v>
      </c>
      <c r="F337" s="12" t="str">
        <f>VLOOKUP($A337,'DB1'!$C:$Q,15,0)</f>
        <v>Land and Urban Environment</v>
      </c>
      <c r="G337" s="13">
        <f>VLOOKUP($A337,'DB1'!$C:$Q,9,0)</f>
        <v>46023</v>
      </c>
      <c r="H337" s="13">
        <f>VLOOKUP($A337,'DB1'!$C:$Q,10,0)</f>
        <v>46387</v>
      </c>
    </row>
    <row r="338" spans="1:8" ht="49.5">
      <c r="A338" s="20" t="s">
        <v>1946</v>
      </c>
      <c r="B338" s="12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2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2" t="str">
        <f>VLOOKUP($A338,'DB1'!$C:$Q,14,0)</f>
        <v>Sustainable Development</v>
      </c>
      <c r="F338" s="12" t="str">
        <f>VLOOKUP($A338,'DB1'!$C:$Q,15,0)</f>
        <v>International Environmental Collaboration</v>
      </c>
      <c r="G338" s="13">
        <f>VLOOKUP($A338,'DB1'!$C:$Q,9,0)</f>
        <v>46023</v>
      </c>
      <c r="H338" s="13">
        <f>VLOOKUP($A338,'DB1'!$C:$Q,10,0)</f>
        <v>46387</v>
      </c>
    </row>
    <row r="339" spans="1:8" ht="33">
      <c r="A339" s="20" t="s">
        <v>1886</v>
      </c>
      <c r="B339" s="12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2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2" t="str">
        <f>VLOOKUP($A339,'DB1'!$C:$Q,14,0)</f>
        <v>Circular Economy</v>
      </c>
      <c r="F339" s="12" t="str">
        <f>VLOOKUP($A339,'DB1'!$C:$Q,15,0)</f>
        <v>Sustainable Development</v>
      </c>
      <c r="G339" s="13">
        <f>VLOOKUP($A339,'DB1'!$C:$Q,9,0)</f>
        <v>46036</v>
      </c>
      <c r="H339" s="13">
        <f>VLOOKUP($A339,'DB1'!$C:$Q,10,0)</f>
        <v>46151</v>
      </c>
    </row>
    <row r="340" spans="1:8" ht="33">
      <c r="A340" s="20" t="s">
        <v>1894</v>
      </c>
      <c r="B340" s="12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2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2" t="str">
        <f>VLOOKUP($A340,'DB1'!$C:$Q,14,0)</f>
        <v>Water Management</v>
      </c>
      <c r="F340" s="12">
        <f>VLOOKUP($A340,'DB1'!$C:$Q,15,0)</f>
        <v>0</v>
      </c>
      <c r="G340" s="13">
        <f>VLOOKUP($A340,'DB1'!$C:$Q,9,0)</f>
        <v>46065</v>
      </c>
      <c r="H340" s="13">
        <f>VLOOKUP($A340,'DB1'!$C:$Q,10,0)</f>
        <v>46356</v>
      </c>
    </row>
    <row r="341" spans="1:8" ht="33">
      <c r="A341" s="20" t="s">
        <v>1895</v>
      </c>
      <c r="B341" s="12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2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2" t="str">
        <f>VLOOKUP($A341,'DB1'!$C:$Q,14,0)</f>
        <v>Carbon Neutrality and Energy</v>
      </c>
      <c r="F341" s="12">
        <f>VLOOKUP($A341,'DB1'!$C:$Q,15,0)</f>
        <v>0</v>
      </c>
      <c r="G341" s="13">
        <f>VLOOKUP($A341,'DB1'!$C:$Q,9,0)</f>
        <v>46065</v>
      </c>
      <c r="H341" s="13">
        <f>VLOOKUP($A341,'DB1'!$C:$Q,10,0)</f>
        <v>46368</v>
      </c>
    </row>
    <row r="342" spans="1:8" ht="33">
      <c r="A342" s="20" t="s">
        <v>1896</v>
      </c>
      <c r="B342" s="12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2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2" t="str">
        <f>VLOOKUP($A342,'DB1'!$C:$Q,14,0)</f>
        <v>Sustainable Development</v>
      </c>
      <c r="F342" s="12">
        <f>VLOOKUP($A342,'DB1'!$C:$Q,15,0)</f>
        <v>0</v>
      </c>
      <c r="G342" s="13">
        <f>VLOOKUP($A342,'DB1'!$C:$Q,9,0)</f>
        <v>46072</v>
      </c>
      <c r="H342" s="13">
        <f>VLOOKUP($A342,'DB1'!$C:$Q,10,0)</f>
        <v>46368</v>
      </c>
    </row>
    <row r="343" spans="1:8" ht="33">
      <c r="A343" s="20" t="s">
        <v>1897</v>
      </c>
      <c r="B343" s="12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2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2" t="str">
        <f>VLOOKUP($A343,'DB1'!$C:$Q,14,0)</f>
        <v>Environmental Assessment</v>
      </c>
      <c r="F343" s="12" t="str">
        <f>VLOOKUP($A343,'DB1'!$C:$Q,15,0)</f>
        <v>Carbon Neutrality and Energy</v>
      </c>
      <c r="G343" s="13">
        <f>VLOOKUP($A343,'DB1'!$C:$Q,9,0)</f>
        <v>46078</v>
      </c>
      <c r="H343" s="13">
        <f>VLOOKUP($A343,'DB1'!$C:$Q,10,0)</f>
        <v>46387</v>
      </c>
    </row>
    <row r="344" spans="1:8" ht="33">
      <c r="A344" s="20" t="s">
        <v>1900</v>
      </c>
      <c r="B344" s="12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2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2" t="str">
        <f>VLOOKUP($A344,'DB1'!$C:$Q,14,0)</f>
        <v>Environmental Economics</v>
      </c>
      <c r="F344" s="12" t="str">
        <f>VLOOKUP($A344,'DB1'!$C:$Q,15,0)</f>
        <v>Carbon Neutrality and Energy</v>
      </c>
      <c r="G344" s="13">
        <f>VLOOKUP($A344,'DB1'!$C:$Q,9,0)</f>
        <v>46087</v>
      </c>
      <c r="H344" s="13">
        <f>VLOOKUP($A344,'DB1'!$C:$Q,10,0)</f>
        <v>46326</v>
      </c>
    </row>
    <row r="345" spans="1:8" ht="33">
      <c r="A345" s="20" t="s">
        <v>1902</v>
      </c>
      <c r="B345" s="12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2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2" t="str">
        <f>VLOOKUP($A345,'DB1'!$C:$Q,14,0)</f>
        <v>Environmental Economics</v>
      </c>
      <c r="F345" s="12" t="str">
        <f>VLOOKUP($A345,'DB1'!$C:$Q,15,0)</f>
        <v>Water Management</v>
      </c>
      <c r="G345" s="13">
        <f>VLOOKUP($A345,'DB1'!$C:$Q,9,0)</f>
        <v>46097</v>
      </c>
      <c r="H345" s="13">
        <f>VLOOKUP($A345,'DB1'!$C:$Q,10,0)</f>
        <v>46319</v>
      </c>
    </row>
    <row r="346" spans="1:8">
      <c r="A346" s="20" t="s">
        <v>1947</v>
      </c>
      <c r="B346" s="12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2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2" t="str">
        <f>VLOOKUP($A346,'DB1'!$C:$Q,14,0)</f>
        <v>Environmental Health</v>
      </c>
      <c r="F346" s="12">
        <f>VLOOKUP($A346,'DB1'!$C:$Q,15,0)</f>
        <v>0</v>
      </c>
      <c r="G346" s="13">
        <f>VLOOKUP($A346,'DB1'!$C:$Q,9,0)</f>
        <v>46097</v>
      </c>
      <c r="H346" s="13">
        <f>VLOOKUP($A346,'DB1'!$C:$Q,10,0)</f>
        <v>46376</v>
      </c>
    </row>
    <row r="347" spans="1:8" ht="33">
      <c r="A347" s="20" t="s">
        <v>1948</v>
      </c>
      <c r="B347" s="12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2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2" t="str">
        <f>VLOOKUP($A347,'DB1'!$C:$Q,14,0)</f>
        <v>Land and Urban Environment</v>
      </c>
      <c r="F347" s="12" t="str">
        <f>VLOOKUP($A347,'DB1'!$C:$Q,15,0)</f>
        <v>Ecology</v>
      </c>
      <c r="G347" s="13">
        <f>VLOOKUP($A347,'DB1'!$C:$Q,9,0)</f>
        <v>46097</v>
      </c>
      <c r="H347" s="13">
        <f>VLOOKUP($A347,'DB1'!$C:$Q,10,0)</f>
        <v>46280</v>
      </c>
    </row>
    <row r="348" spans="1:8" ht="33">
      <c r="A348" s="20" t="s">
        <v>1949</v>
      </c>
      <c r="B348" s="12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2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2" t="str">
        <f>VLOOKUP($A348,'DB1'!$C:$Q,14,0)</f>
        <v>Ecology</v>
      </c>
      <c r="F348" s="12" t="str">
        <f>VLOOKUP($A348,'DB1'!$C:$Q,15,0)</f>
        <v>Climate Adaptation</v>
      </c>
      <c r="G348" s="13">
        <f>VLOOKUP($A348,'DB1'!$C:$Q,9,0)</f>
        <v>46097</v>
      </c>
      <c r="H348" s="13">
        <f>VLOOKUP($A348,'DB1'!$C:$Q,10,0)</f>
        <v>46280</v>
      </c>
    </row>
    <row r="349" spans="1:8" ht="49.5">
      <c r="A349" s="29" t="s">
        <v>2123</v>
      </c>
      <c r="B349" s="12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2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2" t="str">
        <f>VLOOKUP($A349,'DB1'!$C:$Q,14,0)</f>
        <v>Climate Adaptation</v>
      </c>
      <c r="F349" s="12" t="str">
        <f>VLOOKUP($A349,'DB1'!$C:$Q,15,0)</f>
        <v>International Environmental Collaboration</v>
      </c>
      <c r="G349" s="13">
        <f>VLOOKUP($A349,'DB1'!$C:$Q,9,0)</f>
        <v>46006</v>
      </c>
      <c r="H349" s="13">
        <f>VLOOKUP($A349,'DB1'!$C:$Q,10,0)</f>
        <v>47466</v>
      </c>
    </row>
    <row r="350" spans="1:8" ht="33">
      <c r="A350" s="29" t="s">
        <v>2124</v>
      </c>
      <c r="B350" s="12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2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2" t="str">
        <f>VLOOKUP($A350,'DB1'!$C:$Q,14,0)</f>
        <v>Climate Adaptation</v>
      </c>
      <c r="F350" s="12" t="str">
        <f>VLOOKUP($A350,'DB1'!$C:$Q,15,0)</f>
        <v>Marine Environment</v>
      </c>
      <c r="G350" s="13">
        <f>VLOOKUP($A350,'DB1'!$C:$Q,9,0)</f>
        <v>46023</v>
      </c>
      <c r="H350" s="13">
        <f>VLOOKUP($A350,'DB1'!$C:$Q,10,0)</f>
        <v>47483</v>
      </c>
    </row>
    <row r="351" spans="1:8" ht="33">
      <c r="A351" s="29" t="s">
        <v>2125</v>
      </c>
      <c r="B351" s="12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2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2" t="str">
        <f>VLOOKUP($A351,'DB1'!$C:$Q,14,0)</f>
        <v>Water Management</v>
      </c>
      <c r="F351" s="12" t="str">
        <f>VLOOKUP($A351,'DB1'!$C:$Q,15,0)</f>
        <v>Environmental Economics</v>
      </c>
      <c r="G351" s="13">
        <f>VLOOKUP($A351,'DB1'!$C:$Q,9,0)</f>
        <v>46082</v>
      </c>
      <c r="H351" s="13">
        <f>VLOOKUP($A351,'DB1'!$C:$Q,10,0)</f>
        <v>46446</v>
      </c>
    </row>
    <row r="352" spans="1:8" ht="33">
      <c r="A352" s="29" t="s">
        <v>2126</v>
      </c>
      <c r="B352" s="12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2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2" t="str">
        <f>VLOOKUP($A352,'DB1'!$C:$Q,14,0)</f>
        <v>Environmental Assessment</v>
      </c>
      <c r="F352" s="12" t="str">
        <f>VLOOKUP($A352,'DB1'!$C:$Q,15,0)</f>
        <v>Environmental Economics</v>
      </c>
      <c r="G352" s="13">
        <f>VLOOKUP($A352,'DB1'!$C:$Q,9,0)</f>
        <v>46097</v>
      </c>
      <c r="H352" s="13">
        <f>VLOOKUP($A352,'DB1'!$C:$Q,10,0)</f>
        <v>46398</v>
      </c>
    </row>
    <row r="353" spans="1:8" ht="33">
      <c r="A353" s="29" t="s">
        <v>2130</v>
      </c>
      <c r="B353" s="12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2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2" t="str">
        <f>VLOOKUP($A353,'DB1'!$C:$Q,14,0)</f>
        <v>Water Management</v>
      </c>
      <c r="F353" s="12">
        <f>VLOOKUP($A353,'DB1'!$C:$Q,15,0)</f>
        <v>0</v>
      </c>
      <c r="G353" s="13">
        <f>VLOOKUP($A353,'DB1'!$C:$Q,9,0)</f>
        <v>46111</v>
      </c>
      <c r="H353" s="13">
        <f>VLOOKUP($A353,'DB1'!$C:$Q,10,0)</f>
        <v>46356</v>
      </c>
    </row>
    <row r="354" spans="1:8" ht="33">
      <c r="A354" s="29" t="s">
        <v>2132</v>
      </c>
      <c r="B354" s="12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2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2" t="str">
        <f>VLOOKUP($A354,'DB1'!$C:$Q,14,0)</f>
        <v>Carbon Neutrality and Energy</v>
      </c>
      <c r="F354" s="12" t="str">
        <f>VLOOKUP($A354,'DB1'!$C:$Q,15,0)</f>
        <v>Sustainable Development</v>
      </c>
      <c r="G354" s="13">
        <f>VLOOKUP($A354,'DB1'!$C:$Q,9,0)</f>
        <v>46111</v>
      </c>
      <c r="H354" s="13">
        <f>VLOOKUP($A354,'DB1'!$C:$Q,10,0)</f>
        <v>46350</v>
      </c>
    </row>
    <row r="355" spans="1:8" ht="33">
      <c r="A355" s="29" t="s">
        <v>2134</v>
      </c>
      <c r="B355" s="12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2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2" t="str">
        <f>VLOOKUP($A355,'DB1'!$C:$Q,14,0)</f>
        <v>Water Management</v>
      </c>
      <c r="F355" s="12" t="str">
        <f>VLOOKUP($A355,'DB1'!$C:$Q,15,0)</f>
        <v>AI and Environmental Informatics</v>
      </c>
      <c r="G355" s="13">
        <f>VLOOKUP($A355,'DB1'!$C:$Q,9,0)</f>
        <v>46112</v>
      </c>
      <c r="H355" s="13">
        <f>VLOOKUP($A355,'DB1'!$C:$Q,10,0)</f>
        <v>46546</v>
      </c>
    </row>
    <row r="356" spans="1:8" ht="49.5">
      <c r="A356" s="29" t="s">
        <v>2136</v>
      </c>
      <c r="B356" s="12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2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2" t="str">
        <f>VLOOKUP($A356,'DB1'!$C:$Q,14,0)</f>
        <v>Climate Adaptation</v>
      </c>
      <c r="F356" s="12" t="str">
        <f>VLOOKUP($A356,'DB1'!$C:$Q,15,0)</f>
        <v>International Environmental Collaboration</v>
      </c>
      <c r="G356" s="13">
        <f>VLOOKUP($A356,'DB1'!$C:$Q,9,0)</f>
        <v>46113</v>
      </c>
      <c r="H356" s="13">
        <f>VLOOKUP($A356,'DB1'!$C:$Q,10,0)</f>
        <v>46387</v>
      </c>
    </row>
    <row r="357" spans="1:8" ht="33">
      <c r="A357" s="29" t="s">
        <v>2137</v>
      </c>
      <c r="B357" s="12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2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2" t="str">
        <f>VLOOKUP($A357,'DB1'!$C:$Q,14,0)</f>
        <v>Environmental Economics</v>
      </c>
      <c r="F357" s="12" t="str">
        <f>VLOOKUP($A357,'DB1'!$C:$Q,15,0)</f>
        <v>Circular Economy</v>
      </c>
      <c r="G357" s="13">
        <f>VLOOKUP($A357,'DB1'!$C:$Q,9,0)</f>
        <v>46113</v>
      </c>
      <c r="H357" s="13">
        <f>VLOOKUP($A357,'DB1'!$C:$Q,10,0)</f>
        <v>46387</v>
      </c>
    </row>
    <row r="358" spans="1:8" ht="33">
      <c r="A358" s="29" t="s">
        <v>2138</v>
      </c>
      <c r="B358" s="12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2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2" t="str">
        <f>VLOOKUP($A358,'DB1'!$C:$Q,14,0)</f>
        <v>Environmental Health</v>
      </c>
      <c r="F358" s="12">
        <f>VLOOKUP($A358,'DB1'!$C:$Q,15,0)</f>
        <v>0</v>
      </c>
      <c r="G358" s="13">
        <f>VLOOKUP($A358,'DB1'!$C:$Q,9,0)</f>
        <v>46113</v>
      </c>
      <c r="H358" s="13">
        <f>VLOOKUP($A358,'DB1'!$C:$Q,10,0)</f>
        <v>46387</v>
      </c>
    </row>
    <row r="359" spans="1:8" ht="49.5">
      <c r="A359" s="29" t="s">
        <v>2139</v>
      </c>
      <c r="B359" s="12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2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2" t="str">
        <f>VLOOKUP($A359,'DB1'!$C:$Q,14,0)</f>
        <v>Ecology</v>
      </c>
      <c r="F359" s="12" t="str">
        <f>VLOOKUP($A359,'DB1'!$C:$Q,15,0)</f>
        <v>International Environmental Collaboration</v>
      </c>
      <c r="G359" s="13">
        <f>VLOOKUP($A359,'DB1'!$C:$Q,9,0)</f>
        <v>46113</v>
      </c>
      <c r="H359" s="13">
        <f>VLOOKUP($A359,'DB1'!$C:$Q,10,0)</f>
        <v>46387</v>
      </c>
    </row>
    <row r="360" spans="1:8" ht="33">
      <c r="A360" s="29" t="s">
        <v>2140</v>
      </c>
      <c r="B360" s="12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2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2" t="str">
        <f>VLOOKUP($A360,'DB1'!$C:$Q,14,0)</f>
        <v>Water Management</v>
      </c>
      <c r="F360" s="12" t="str">
        <f>VLOOKUP($A360,'DB1'!$C:$Q,15,0)</f>
        <v>Sustainable Development</v>
      </c>
      <c r="G360" s="13">
        <f>VLOOKUP($A360,'DB1'!$C:$Q,9,0)</f>
        <v>46113</v>
      </c>
      <c r="H360" s="13">
        <f>VLOOKUP($A360,'DB1'!$C:$Q,10,0)</f>
        <v>46387</v>
      </c>
    </row>
    <row r="361" spans="1:8" ht="33">
      <c r="A361" s="29" t="s">
        <v>2141</v>
      </c>
      <c r="B361" s="12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2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2" t="str">
        <f>VLOOKUP($A361,'DB1'!$C:$Q,14,0)</f>
        <v>Water Management</v>
      </c>
      <c r="F361" s="12" t="str">
        <f>VLOOKUP($A361,'DB1'!$C:$Q,15,0)</f>
        <v>Land and Urban Environment</v>
      </c>
      <c r="G361" s="13">
        <f>VLOOKUP($A361,'DB1'!$C:$Q,9,0)</f>
        <v>46113</v>
      </c>
      <c r="H361" s="13">
        <f>VLOOKUP($A361,'DB1'!$C:$Q,10,0)</f>
        <v>46356</v>
      </c>
    </row>
    <row r="362" spans="1:8" ht="33">
      <c r="A362" s="29" t="s">
        <v>2142</v>
      </c>
      <c r="B362" s="12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2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2" t="str">
        <f>VLOOKUP($A362,'DB1'!$C:$Q,14,0)</f>
        <v>Water Management</v>
      </c>
      <c r="F362" s="12" t="str">
        <f>VLOOKUP($A362,'DB1'!$C:$Q,15,0)</f>
        <v>Environmental Economics</v>
      </c>
      <c r="G362" s="13">
        <f>VLOOKUP($A362,'DB1'!$C:$Q,9,0)</f>
        <v>46113</v>
      </c>
      <c r="H362" s="13">
        <f>VLOOKUP($A362,'DB1'!$C:$Q,10,0)</f>
        <v>46387</v>
      </c>
    </row>
    <row r="363" spans="1:8" ht="33">
      <c r="A363" s="29" t="s">
        <v>2143</v>
      </c>
      <c r="B363" s="12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2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2" t="str">
        <f>VLOOKUP($A363,'DB1'!$C:$Q,14,0)</f>
        <v>Ecology</v>
      </c>
      <c r="F363" s="12" t="str">
        <f>VLOOKUP($A363,'DB1'!$C:$Q,15,0)</f>
        <v>Water Management</v>
      </c>
      <c r="G363" s="13">
        <f>VLOOKUP($A363,'DB1'!$C:$Q,9,0)</f>
        <v>46113</v>
      </c>
      <c r="H363" s="13">
        <f>VLOOKUP($A363,'DB1'!$C:$Q,10,0)</f>
        <v>46387</v>
      </c>
    </row>
    <row r="364" spans="1:8" ht="33">
      <c r="A364" s="29" t="s">
        <v>2144</v>
      </c>
      <c r="B364" s="12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2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2" t="str">
        <f>VLOOKUP($A364,'DB1'!$C:$Q,14,0)</f>
        <v>Water Management</v>
      </c>
      <c r="F364" s="12">
        <f>VLOOKUP($A364,'DB1'!$C:$Q,15,0)</f>
        <v>0</v>
      </c>
      <c r="G364" s="13">
        <f>VLOOKUP($A364,'DB1'!$C:$Q,9,0)</f>
        <v>46113</v>
      </c>
      <c r="H364" s="13">
        <f>VLOOKUP($A364,'DB1'!$C:$Q,10,0)</f>
        <v>46387</v>
      </c>
    </row>
    <row r="365" spans="1:8" ht="33">
      <c r="A365" s="29" t="s">
        <v>2145</v>
      </c>
      <c r="B365" s="12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2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2" t="str">
        <f>VLOOKUP($A365,'DB1'!$C:$Q,14,0)</f>
        <v>Land and Urban Environment</v>
      </c>
      <c r="F365" s="12">
        <f>VLOOKUP($A365,'DB1'!$C:$Q,15,0)</f>
        <v>0</v>
      </c>
      <c r="G365" s="13">
        <f>VLOOKUP($A365,'DB1'!$C:$Q,9,0)</f>
        <v>46113</v>
      </c>
      <c r="H365" s="13">
        <f>VLOOKUP($A365,'DB1'!$C:$Q,10,0)</f>
        <v>46387</v>
      </c>
    </row>
    <row r="366" spans="1:8" ht="33">
      <c r="A366" s="29" t="s">
        <v>2146</v>
      </c>
      <c r="B366" s="12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2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2" t="str">
        <f>VLOOKUP($A366,'DB1'!$C:$Q,14,0)</f>
        <v>Environmental Assessment</v>
      </c>
      <c r="F366" s="12" t="str">
        <f>VLOOKUP($A366,'DB1'!$C:$Q,15,0)</f>
        <v>Sustainable Development</v>
      </c>
      <c r="G366" s="13">
        <f>VLOOKUP($A366,'DB1'!$C:$Q,9,0)</f>
        <v>46113</v>
      </c>
      <c r="H366" s="13">
        <f>VLOOKUP($A366,'DB1'!$C:$Q,10,0)</f>
        <v>46387</v>
      </c>
    </row>
    <row r="367" spans="1:8" ht="33">
      <c r="A367" s="29" t="s">
        <v>2147</v>
      </c>
      <c r="B367" s="12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2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2" t="str">
        <f>VLOOKUP($A367,'DB1'!$C:$Q,14,0)</f>
        <v>Environmental Assessment</v>
      </c>
      <c r="F367" s="12" t="str">
        <f>VLOOKUP($A367,'DB1'!$C:$Q,15,0)</f>
        <v>ecology</v>
      </c>
      <c r="G367" s="13">
        <f>VLOOKUP($A367,'DB1'!$C:$Q,9,0)</f>
        <v>46113</v>
      </c>
      <c r="H367" s="13">
        <f>VLOOKUP($A367,'DB1'!$C:$Q,10,0)</f>
        <v>46387</v>
      </c>
    </row>
    <row r="368" spans="1:8" ht="33">
      <c r="A368" s="29" t="s">
        <v>2148</v>
      </c>
      <c r="B368" s="12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2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2" t="str">
        <f>VLOOKUP($A368,'DB1'!$C:$Q,14,0)</f>
        <v>Carbon Neutrality and Energy</v>
      </c>
      <c r="F368" s="12" t="str">
        <f>VLOOKUP($A368,'DB1'!$C:$Q,15,0)</f>
        <v>Environmental Assessment</v>
      </c>
      <c r="G368" s="13">
        <f>VLOOKUP($A368,'DB1'!$C:$Q,9,0)</f>
        <v>46113</v>
      </c>
      <c r="H368" s="13">
        <f>VLOOKUP($A368,'DB1'!$C:$Q,10,0)</f>
        <v>46387</v>
      </c>
    </row>
    <row r="369" spans="1:8" ht="33">
      <c r="A369" s="29" t="s">
        <v>2382</v>
      </c>
      <c r="B369" s="12" t="str" cm="1">
        <f t="array" ref="B369">_xlfn.IFS(
    LEFT($A369,2)='DB2'!$G$56,'DB2'!$F$56,
    LEFT($A369,2)='DB2'!$G$51,'DB2'!$F$51,
    LEFT($A369,2)='DB2'!$G$52,'DB2'!$F$52,
    LEFT($A369,2)='DB2'!$H$52,'DB2'!$F$52,
    LEFT($A369,2)='DB2'!$I$52,'DB2'!$F$52,
    LEFT($A369,2)='DB2'!$J$44,'DB2'!$F$52,
    LEFT($A369,2)='DB2'!$G$53,'DB2'!$F$53,
    LEFT($A369,2)='DB2'!$G$54,'DB2'!$F$54,
    LEFT($A369,2)=LEFT('DB2'!$G$55,2),'DB2'!$F$55
)</f>
        <v xml:space="preserve">Commissioned Research </v>
      </c>
      <c r="C369" s="12" t="str">
        <f>VLOOKUP($A369,'DB1'!$C:$Q,12,0)</f>
        <v>Development of Customized Digital Twin Technologies for the Management of Natural Ecosystem Restoration (Year 1)</v>
      </c>
      <c r="D369" s="11" t="str">
        <f>VLOOKUP($A369,'DB1'!$C:$Q,13,0)</f>
        <v>Son, Seungwoo</v>
      </c>
      <c r="E369" s="12" t="str">
        <f>VLOOKUP($A369,'DB1'!$C:$Q,14,0)</f>
        <v>Ecology</v>
      </c>
      <c r="F369" s="12" t="str">
        <f>VLOOKUP($A369,'DB1'!$C:$Q,15,0)</f>
        <v>AI and Environmental Informatics</v>
      </c>
      <c r="G369" s="13">
        <f>VLOOKUP($A369,'DB1'!$C:$Q,9,0)</f>
        <v>46113</v>
      </c>
      <c r="H369" s="13">
        <f>VLOOKUP($A369,'DB1'!$C:$Q,10,0)</f>
        <v>46387</v>
      </c>
    </row>
    <row r="370" spans="1:8" ht="33">
      <c r="A370" s="29" t="s">
        <v>2384</v>
      </c>
      <c r="B370" s="12" t="str" cm="1">
        <f t="array" ref="B370">_xlfn.IFS(
    LEFT($A370,2)='DB2'!$G$56,'DB2'!$F$56,
    LEFT($A370,2)='DB2'!$G$51,'DB2'!$F$51,
    LEFT($A370,2)='DB2'!$G$52,'DB2'!$F$52,
    LEFT($A370,2)='DB2'!$H$52,'DB2'!$F$52,
    LEFT($A370,2)='DB2'!$I$52,'DB2'!$F$52,
    LEFT($A370,2)='DB2'!$J$44,'DB2'!$F$52,
    LEFT($A370,2)='DB2'!$G$53,'DB2'!$F$53,
    LEFT($A370,2)='DB2'!$G$54,'DB2'!$F$54,
    LEFT($A370,2)=LEFT('DB2'!$G$55,2),'DB2'!$F$55
)</f>
        <v xml:space="preserve">Commissioned Research </v>
      </c>
      <c r="C370" s="12" t="str">
        <f>VLOOKUP($A370,'DB1'!$C:$Q,12,0)</f>
        <v>Development of Ecosystem Restoration Technologies for Recovering Degraded Ecological Areas (Year 1)</v>
      </c>
      <c r="D370" s="11" t="str">
        <f>VLOOKUP($A370,'DB1'!$C:$Q,13,0)</f>
        <v>Hyun, Yunjung</v>
      </c>
      <c r="E370" s="12" t="str">
        <f>VLOOKUP($A370,'DB1'!$C:$Q,14,0)</f>
        <v>Ecology</v>
      </c>
      <c r="F370" s="12">
        <f>VLOOKUP($A370,'DB1'!$C:$Q,15,0)</f>
        <v>0</v>
      </c>
      <c r="G370" s="13">
        <f>VLOOKUP($A370,'DB1'!$C:$Q,9,0)</f>
        <v>46113</v>
      </c>
      <c r="H370" s="13">
        <f>VLOOKUP($A370,'DB1'!$C:$Q,10,0)</f>
        <v>46387</v>
      </c>
    </row>
    <row r="371" spans="1:8" ht="49.5">
      <c r="A371" s="29" t="s">
        <v>2386</v>
      </c>
      <c r="B371" s="12" t="str" cm="1">
        <f t="array" ref="B371">_xlfn.IFS(
    LEFT($A371,2)='DB2'!$G$56,'DB2'!$F$56,
    LEFT($A371,2)='DB2'!$G$51,'DB2'!$F$51,
    LEFT($A371,2)='DB2'!$G$52,'DB2'!$F$52,
    LEFT($A371,2)='DB2'!$H$52,'DB2'!$F$52,
    LEFT($A371,2)='DB2'!$I$52,'DB2'!$F$52,
    LEFT($A371,2)='DB2'!$J$44,'DB2'!$F$52,
    LEFT($A371,2)='DB2'!$G$53,'DB2'!$F$53,
    LEFT($A371,2)='DB2'!$G$54,'DB2'!$F$54,
    LEFT($A371,2)=LEFT('DB2'!$G$55,2),'DB2'!$F$55
)</f>
        <v xml:space="preserve">Commissioned Research </v>
      </c>
      <c r="C371" s="12" t="str">
        <f>VLOOKUP($A371,'DB1'!$C:$Q,12,0)</f>
        <v>Establishing a Global Standardization Governance Framework for Smart City Demonstration and Service Deployment (Year 3)</v>
      </c>
      <c r="D371" s="11" t="str">
        <f>VLOOKUP($A371,'DB1'!$C:$Q,13,0)</f>
        <v xml:space="preserve">Song, Jiyoon </v>
      </c>
      <c r="E371" s="12" t="str">
        <f>VLOOKUP($A371,'DB1'!$C:$Q,14,0)</f>
        <v>Land and Urban Environment</v>
      </c>
      <c r="F371" s="12" t="str">
        <f>VLOOKUP($A371,'DB1'!$C:$Q,15,0)</f>
        <v>International Environmental Collaboration</v>
      </c>
      <c r="G371" s="13">
        <f>VLOOKUP($A371,'DB1'!$C:$Q,9,0)</f>
        <v>46023</v>
      </c>
      <c r="H371" s="13">
        <f>VLOOKUP($A371,'DB1'!$C:$Q,10,0)</f>
        <v>46387</v>
      </c>
    </row>
    <row r="372" spans="1:8" ht="33">
      <c r="A372" s="29" t="s">
        <v>2388</v>
      </c>
      <c r="B372" s="12" t="str" cm="1">
        <f t="array" ref="B372">_xlfn.IFS(
    LEFT($A372,2)='DB2'!$G$56,'DB2'!$F$56,
    LEFT($A372,2)='DB2'!$G$51,'DB2'!$F$51,
    LEFT($A372,2)='DB2'!$G$52,'DB2'!$F$52,
    LEFT($A372,2)='DB2'!$H$52,'DB2'!$F$52,
    LEFT($A372,2)='DB2'!$I$52,'DB2'!$F$52,
    LEFT($A372,2)='DB2'!$J$44,'DB2'!$F$52,
    LEFT($A372,2)='DB2'!$G$53,'DB2'!$F$53,
    LEFT($A372,2)='DB2'!$G$54,'DB2'!$F$54,
    LEFT($A372,2)=LEFT('DB2'!$G$55,2),'DB2'!$F$55
)</f>
        <v xml:space="preserve">Commissioned Research </v>
      </c>
      <c r="C372" s="12" t="str">
        <f>VLOOKUP($A372,'DB1'!$C:$Q,12,0)</f>
        <v>Roadmap for the Digital Transformation of Environmental Impact Assessment</v>
      </c>
      <c r="D372" s="11" t="str">
        <f>VLOOKUP($A372,'DB1'!$C:$Q,13,0)</f>
        <v>Ji, Min-Kyu</v>
      </c>
      <c r="E372" s="12" t="str">
        <f>VLOOKUP($A372,'DB1'!$C:$Q,14,0)</f>
        <v>Environmental Assessment</v>
      </c>
      <c r="F372" s="12" t="str">
        <f>VLOOKUP($A372,'DB1'!$C:$Q,15,0)</f>
        <v>AI and Environmental Informatics</v>
      </c>
      <c r="G372" s="13">
        <f>VLOOKUP($A372,'DB1'!$C:$Q,9,0)</f>
        <v>46121</v>
      </c>
      <c r="H372" s="13">
        <f>VLOOKUP($A372,'DB1'!$C:$Q,10,0)</f>
        <v>46420</v>
      </c>
    </row>
    <row r="373" spans="1:8" ht="33">
      <c r="A373" s="29" t="s">
        <v>2390</v>
      </c>
      <c r="B373" s="12" t="str" cm="1">
        <f t="array" ref="B373">_xlfn.IFS(
    LEFT($A373,2)='DB2'!$G$56,'DB2'!$F$56,
    LEFT($A373,2)='DB2'!$G$51,'DB2'!$F$51,
    LEFT($A373,2)='DB2'!$G$52,'DB2'!$F$52,
    LEFT($A373,2)='DB2'!$H$52,'DB2'!$F$52,
    LEFT($A373,2)='DB2'!$I$52,'DB2'!$F$52,
    LEFT($A373,2)='DB2'!$J$44,'DB2'!$F$52,
    LEFT($A373,2)='DB2'!$G$53,'DB2'!$F$53,
    LEFT($A373,2)='DB2'!$G$54,'DB2'!$F$54,
    LEFT($A373,2)=LEFT('DB2'!$G$55,2),'DB2'!$F$55
)</f>
        <v xml:space="preserve">Commissioned Research </v>
      </c>
      <c r="C373" s="12" t="str">
        <f>VLOOKUP($A373,'DB1'!$C:$Q,12,0)</f>
        <v>Enhancing the Carbon-Neutral City Designation System to Achieve Nationally Determined Contributions (NDCs)</v>
      </c>
      <c r="D373" s="11" t="str">
        <f>VLOOKUP($A373,'DB1'!$C:$Q,13,0)</f>
        <v xml:space="preserve">Kim, Taehyun </v>
      </c>
      <c r="E373" s="12" t="str">
        <f>VLOOKUP($A373,'DB1'!$C:$Q,14,0)</f>
        <v>Carbon Neutrality and Energy</v>
      </c>
      <c r="F373" s="12" t="str">
        <f>VLOOKUP($A373,'DB1'!$C:$Q,15,0)</f>
        <v>Land and Urban Environment</v>
      </c>
      <c r="G373" s="13">
        <f>VLOOKUP($A373,'DB1'!$C:$Q,9,0)</f>
        <v>46125</v>
      </c>
      <c r="H373" s="13">
        <f>VLOOKUP($A373,'DB1'!$C:$Q,10,0)</f>
        <v>46489</v>
      </c>
    </row>
    <row r="374" spans="1:8" ht="33">
      <c r="A374" s="29" t="s">
        <v>2393</v>
      </c>
      <c r="B374" s="12" t="str" cm="1">
        <f t="array" ref="B374">_xlfn.IFS(
    LEFT($A374,2)='DB2'!$G$56,'DB2'!$F$56,
    LEFT($A374,2)='DB2'!$G$51,'DB2'!$F$51,
    LEFT($A374,2)='DB2'!$G$52,'DB2'!$F$52,
    LEFT($A374,2)='DB2'!$H$52,'DB2'!$F$52,
    LEFT($A374,2)='DB2'!$I$52,'DB2'!$F$52,
    LEFT($A374,2)='DB2'!$J$44,'DB2'!$F$52,
    LEFT($A374,2)='DB2'!$G$53,'DB2'!$F$53,
    LEFT($A374,2)='DB2'!$G$54,'DB2'!$F$54,
    LEFT($A374,2)=LEFT('DB2'!$G$55,2),'DB2'!$F$55
)</f>
        <v xml:space="preserve">Commissioned Research </v>
      </c>
      <c r="C374" s="12" t="str">
        <f>VLOOKUP($A374,'DB1'!$C:$Q,12,0)</f>
        <v>Roadmap for Harmonizing Traffic Noise Assessment Metrics for Road and Rail Transport</v>
      </c>
      <c r="D374" s="11" t="str">
        <f>VLOOKUP($A374,'DB1'!$C:$Q,13,0)</f>
        <v>Park, Taeho</v>
      </c>
      <c r="E374" s="12" t="str">
        <f>VLOOKUP($A374,'DB1'!$C:$Q,14,0)</f>
        <v>Environmental Assessment</v>
      </c>
      <c r="F374" s="12" t="str">
        <f>VLOOKUP($A374,'DB1'!$C:$Q,15,0)</f>
        <v>Environmental Health</v>
      </c>
      <c r="G374" s="13">
        <f>VLOOKUP($A374,'DB1'!$C:$Q,9,0)</f>
        <v>46126</v>
      </c>
      <c r="H374" s="13">
        <f>VLOOKUP($A374,'DB1'!$C:$Q,10,0)</f>
        <v>46365</v>
      </c>
    </row>
    <row r="375" spans="1:8" ht="33">
      <c r="A375" s="29" t="s">
        <v>2396</v>
      </c>
      <c r="B375" s="12" t="str" cm="1">
        <f t="array" ref="B375">_xlfn.IFS(
    LEFT($A375,2)='DB2'!$G$56,'DB2'!$F$56,
    LEFT($A375,2)='DB2'!$G$51,'DB2'!$F$51,
    LEFT($A375,2)='DB2'!$G$52,'DB2'!$F$52,
    LEFT($A375,2)='DB2'!$H$52,'DB2'!$F$52,
    LEFT($A375,2)='DB2'!$I$52,'DB2'!$F$52,
    LEFT($A375,2)='DB2'!$J$44,'DB2'!$F$52,
    LEFT($A375,2)='DB2'!$G$53,'DB2'!$F$53,
    LEFT($A375,2)='DB2'!$G$54,'DB2'!$F$54,
    LEFT($A375,2)=LEFT('DB2'!$G$55,2),'DB2'!$F$55
)</f>
        <v xml:space="preserve">Commissioned Research </v>
      </c>
      <c r="C375" s="12" t="str">
        <f>VLOOKUP($A375,'DB1'!$C:$Q,12,0)</f>
        <v>Improving the Management of the Ecosystem Conservation Charge through Fund-Based Mechanisms</v>
      </c>
      <c r="D375" s="11" t="str">
        <f>VLOOKUP($A375,'DB1'!$C:$Q,13,0)</f>
        <v>Lee, Who-Seung</v>
      </c>
      <c r="E375" s="12" t="str">
        <f>VLOOKUP($A375,'DB1'!$C:$Q,14,0)</f>
        <v>Environmental Economics</v>
      </c>
      <c r="F375" s="12" t="str">
        <f>VLOOKUP($A375,'DB1'!$C:$Q,15,0)</f>
        <v>Ecology</v>
      </c>
      <c r="G375" s="13">
        <f>VLOOKUP($A375,'DB1'!$C:$Q,9,0)</f>
        <v>46134</v>
      </c>
      <c r="H375" s="13">
        <f>VLOOKUP($A375,'DB1'!$C:$Q,10,0)</f>
        <v>46373</v>
      </c>
    </row>
    <row r="376" spans="1:8" ht="33">
      <c r="A376" s="29" t="s">
        <v>2398</v>
      </c>
      <c r="B376" s="12" t="str" cm="1">
        <f t="array" ref="B376">_xlfn.IFS(
    LEFT($A376,2)='DB2'!$G$56,'DB2'!$F$56,
    LEFT($A376,2)='DB2'!$G$51,'DB2'!$F$51,
    LEFT($A376,2)='DB2'!$G$52,'DB2'!$F$52,
    LEFT($A376,2)='DB2'!$H$52,'DB2'!$F$52,
    LEFT($A376,2)='DB2'!$I$52,'DB2'!$F$52,
    LEFT($A376,2)='DB2'!$J$44,'DB2'!$F$52,
    LEFT($A376,2)='DB2'!$G$53,'DB2'!$F$53,
    LEFT($A376,2)='DB2'!$G$54,'DB2'!$F$54,
    LEFT($A376,2)=LEFT('DB2'!$G$55,2),'DB2'!$F$55
)</f>
        <v xml:space="preserve">Commissioned Research </v>
      </c>
      <c r="C376" s="12" t="str">
        <f>VLOOKUP($A376,'DB1'!$C:$Q,12,0)</f>
        <v>Support for the Preliminary Feasibility Assessment of the Iksan Wanggung Ecological Restoration Project</v>
      </c>
      <c r="D376" s="11" t="str">
        <f>VLOOKUP($A376,'DB1'!$C:$Q,13,0)</f>
        <v>Son, Seungwoo</v>
      </c>
      <c r="E376" s="12" t="str">
        <f>VLOOKUP($A376,'DB1'!$C:$Q,14,0)</f>
        <v>Ecology</v>
      </c>
      <c r="F376" s="12" t="str">
        <f>VLOOKUP($A376,'DB1'!$C:$Q,15,0)</f>
        <v>Environmental Assessment</v>
      </c>
      <c r="G376" s="13">
        <f>VLOOKUP($A376,'DB1'!$C:$Q,9,0)</f>
        <v>46136</v>
      </c>
      <c r="H376" s="13">
        <f>VLOOKUP($A376,'DB1'!$C:$Q,10,0)</f>
        <v>46500</v>
      </c>
    </row>
    <row r="377" spans="1:8" ht="33">
      <c r="A377" s="29" t="s">
        <v>2399</v>
      </c>
      <c r="B377" s="12" t="str" cm="1">
        <f t="array" ref="B377">_xlfn.IFS(
    LEFT($A377,2)='DB2'!$G$56,'DB2'!$F$56,
    LEFT($A377,2)='DB2'!$G$51,'DB2'!$F$51,
    LEFT($A377,2)='DB2'!$G$52,'DB2'!$F$52,
    LEFT($A377,2)='DB2'!$H$52,'DB2'!$F$52,
    LEFT($A377,2)='DB2'!$I$52,'DB2'!$F$52,
    LEFT($A377,2)='DB2'!$J$44,'DB2'!$F$52,
    LEFT($A377,2)='DB2'!$G$53,'DB2'!$F$53,
    LEFT($A377,2)='DB2'!$G$54,'DB2'!$F$54,
    LEFT($A377,2)=LEFT('DB2'!$G$55,2),'DB2'!$F$55
)</f>
        <v xml:space="preserve">Commissioned Research </v>
      </c>
      <c r="C377" s="12" t="str">
        <f>VLOOKUP($A377,'DB1'!$C:$Q,12,0)</f>
        <v>Survey and Assessment of Candidate Sites for National Green Restoration (Year 4)</v>
      </c>
      <c r="D377" s="11" t="str">
        <f>VLOOKUP($A377,'DB1'!$C:$Q,13,0)</f>
        <v>Son, Seungwoo</v>
      </c>
      <c r="E377" s="12" t="str">
        <f>VLOOKUP($A377,'DB1'!$C:$Q,14,0)</f>
        <v>Land and Urban Environment</v>
      </c>
      <c r="F377" s="12" t="str">
        <f>VLOOKUP($A377,'DB1'!$C:$Q,15,0)</f>
        <v>Ecology</v>
      </c>
      <c r="G377" s="13">
        <f>VLOOKUP($A377,'DB1'!$C:$Q,9,0)</f>
        <v>46139</v>
      </c>
      <c r="H377" s="13">
        <f>VLOOKUP($A377,'DB1'!$C:$Q,10,0)</f>
        <v>46503</v>
      </c>
    </row>
    <row r="378" spans="1:8" ht="33">
      <c r="A378" s="29" t="s">
        <v>2401</v>
      </c>
      <c r="B378" s="12" t="str" cm="1">
        <f t="array" ref="B378">_xlfn.IFS(
    LEFT($A378,2)='DB2'!$G$56,'DB2'!$F$56,
    LEFT($A378,2)='DB2'!$G$51,'DB2'!$F$51,
    LEFT($A378,2)='DB2'!$G$52,'DB2'!$F$52,
    LEFT($A378,2)='DB2'!$H$52,'DB2'!$F$52,
    LEFT($A378,2)='DB2'!$I$52,'DB2'!$F$52,
    LEFT($A378,2)='DB2'!$J$44,'DB2'!$F$52,
    LEFT($A378,2)='DB2'!$G$53,'DB2'!$F$53,
    LEFT($A378,2)='DB2'!$G$54,'DB2'!$F$54,
    LEFT($A378,2)=LEFT('DB2'!$G$55,2),'DB2'!$F$55
)</f>
        <v xml:space="preserve">Commissioned Research </v>
      </c>
      <c r="C378" s="12" t="str">
        <f>VLOOKUP($A378,'DB1'!$C:$Q,12,0)</f>
        <v>Facilitation of the 2026 Climate Citizens' Assembly under the Presidential Commission on Climate Crisis Response</v>
      </c>
      <c r="D378" s="11" t="str">
        <f>VLOOKUP($A378,'DB1'!$C:$Q,13,0)</f>
        <v>Kim, Dokyun</v>
      </c>
      <c r="E378" s="12" t="str">
        <f>VLOOKUP($A378,'DB1'!$C:$Q,14,0)</f>
        <v>Socio-Environmental Interface</v>
      </c>
      <c r="F378" s="12" t="str">
        <f>VLOOKUP($A378,'DB1'!$C:$Q,15,0)</f>
        <v>Climate Adaptation</v>
      </c>
      <c r="G378" s="13">
        <f>VLOOKUP($A378,'DB1'!$C:$Q,9,0)</f>
        <v>46139</v>
      </c>
      <c r="H378" s="13">
        <f>VLOOKUP($A378,'DB1'!$C:$Q,10,0)</f>
        <v>46387</v>
      </c>
    </row>
    <row r="379" spans="1:8" ht="33">
      <c r="A379" s="29" t="s">
        <v>2403</v>
      </c>
      <c r="B379" s="12" t="str" cm="1">
        <f t="array" ref="B379">_xlfn.IFS(
    LEFT($A379,2)='DB2'!$G$56,'DB2'!$F$56,
    LEFT($A379,2)='DB2'!$G$51,'DB2'!$F$51,
    LEFT($A379,2)='DB2'!$G$52,'DB2'!$F$52,
    LEFT($A379,2)='DB2'!$H$52,'DB2'!$F$52,
    LEFT($A379,2)='DB2'!$I$52,'DB2'!$F$52,
    LEFT($A379,2)='DB2'!$J$44,'DB2'!$F$52,
    LEFT($A379,2)='DB2'!$G$53,'DB2'!$F$53,
    LEFT($A379,2)='DB2'!$G$54,'DB2'!$F$54,
    LEFT($A379,2)=LEFT('DB2'!$G$55,2),'DB2'!$F$55
)</f>
        <v xml:space="preserve">Commissioned Research </v>
      </c>
      <c r="C379" s="12" t="str">
        <f>VLOOKUP($A379,'DB1'!$C:$Q,12,0)</f>
        <v>Development of AI-Based Automated Health Impact Assessment Technologies for Environmental Hazard Exposure from New Development Projects (Year 1)</v>
      </c>
      <c r="D379" s="11" t="str">
        <f>VLOOKUP($A379,'DB1'!$C:$Q,13,0)</f>
        <v>Ha, Jongsik</v>
      </c>
      <c r="E379" s="12" t="str">
        <f>VLOOKUP($A379,'DB1'!$C:$Q,14,0)</f>
        <v>Environmental Health</v>
      </c>
      <c r="F379" s="12" t="str">
        <f>VLOOKUP($A379,'DB1'!$C:$Q,15,0)</f>
        <v>AI and Environmental Informatics</v>
      </c>
      <c r="G379" s="13">
        <f>VLOOKUP($A379,'DB1'!$C:$Q,9,0)</f>
        <v>46113</v>
      </c>
      <c r="H379" s="13">
        <f>VLOOKUP($A379,'DB1'!$C:$Q,10,0)</f>
        <v>46387</v>
      </c>
    </row>
    <row r="380" spans="1:8" ht="33">
      <c r="A380" s="29" t="s">
        <v>2405</v>
      </c>
      <c r="B380" s="12" t="str" cm="1">
        <f t="array" ref="B380">_xlfn.IFS(
    LEFT($A380,2)='DB2'!$G$56,'DB2'!$F$56,
    LEFT($A380,2)='DB2'!$G$51,'DB2'!$F$51,
    LEFT($A380,2)='DB2'!$G$52,'DB2'!$F$52,
    LEFT($A380,2)='DB2'!$H$52,'DB2'!$F$52,
    LEFT($A380,2)='DB2'!$I$52,'DB2'!$F$52,
    LEFT($A380,2)='DB2'!$J$44,'DB2'!$F$52,
    LEFT($A380,2)='DB2'!$G$53,'DB2'!$F$53,
    LEFT($A380,2)='DB2'!$G$54,'DB2'!$F$54,
    LEFT($A380,2)=LEFT('DB2'!$G$55,2),'DB2'!$F$55
)</f>
        <v xml:space="preserve">Commissioned Research </v>
      </c>
      <c r="C380" s="12" t="str">
        <f>VLOOKUP($A380,'DB1'!$C:$Q,12,0)</f>
        <v>Development of GeoAI-Based Technologies for Environmental Health Monitoring, Assessment, and Management (Year 1)</v>
      </c>
      <c r="D380" s="11" t="str">
        <f>VLOOKUP($A380,'DB1'!$C:$Q,13,0)</f>
        <v>Bae, Hyun-Joo</v>
      </c>
      <c r="E380" s="12" t="str">
        <f>VLOOKUP($A380,'DB1'!$C:$Q,14,0)</f>
        <v>Environmental Health</v>
      </c>
      <c r="F380" s="12" t="str">
        <f>VLOOKUP($A380,'DB1'!$C:$Q,15,0)</f>
        <v>AI and Environmental Informatics</v>
      </c>
      <c r="G380" s="13">
        <f>VLOOKUP($A380,'DB1'!$C:$Q,9,0)</f>
        <v>46113</v>
      </c>
      <c r="H380" s="13">
        <f>VLOOKUP($A380,'DB1'!$C:$Q,10,0)</f>
        <v>46387</v>
      </c>
    </row>
    <row r="381" spans="1:8" ht="33">
      <c r="A381" s="29" t="s">
        <v>2407</v>
      </c>
      <c r="B381" s="12" t="str" cm="1">
        <f t="array" ref="B381">_xlfn.IFS(
    LEFT($A381,2)='DB2'!$G$56,'DB2'!$F$56,
    LEFT($A381,2)='DB2'!$G$51,'DB2'!$F$51,
    LEFT($A381,2)='DB2'!$G$52,'DB2'!$F$52,
    LEFT($A381,2)='DB2'!$H$52,'DB2'!$F$52,
    LEFT($A381,2)='DB2'!$I$52,'DB2'!$F$52,
    LEFT($A381,2)='DB2'!$J$44,'DB2'!$F$52,
    LEFT($A381,2)='DB2'!$G$53,'DB2'!$F$53,
    LEFT($A381,2)='DB2'!$G$54,'DB2'!$F$54,
    LEFT($A381,2)=LEFT('DB2'!$G$55,2),'DB2'!$F$55
)</f>
        <v xml:space="preserve">Commissioned Research </v>
      </c>
      <c r="C381" s="12" t="str">
        <f>VLOOKUP($A381,'DB1'!$C:$Q,12,0)</f>
        <v>Roadmap for Advancing Air Emissions Impact Assessment Models</v>
      </c>
      <c r="D381" s="11" t="str">
        <f>VLOOKUP($A381,'DB1'!$C:$Q,13,0)</f>
        <v>Moon, Nankyoung</v>
      </c>
      <c r="E381" s="12" t="str">
        <f>VLOOKUP($A381,'DB1'!$C:$Q,14,0)</f>
        <v>Atmospheric Environment</v>
      </c>
      <c r="F381" s="12">
        <f>VLOOKUP($A381,'DB1'!$C:$Q,15,0)</f>
        <v>0</v>
      </c>
      <c r="G381" s="13">
        <f>VLOOKUP($A381,'DB1'!$C:$Q,9,0)</f>
        <v>46141</v>
      </c>
      <c r="H381" s="13">
        <f>VLOOKUP($A381,'DB1'!$C:$Q,10,0)</f>
        <v>46410</v>
      </c>
    </row>
    <row r="382" spans="1:8" ht="33">
      <c r="A382" s="29" t="s">
        <v>2410</v>
      </c>
      <c r="B382" s="12" t="str" cm="1">
        <f t="array" ref="B382">_xlfn.IFS(
    LEFT($A382,2)='DB2'!$G$56,'DB2'!$F$56,
    LEFT($A382,2)='DB2'!$G$51,'DB2'!$F$51,
    LEFT($A382,2)='DB2'!$G$52,'DB2'!$F$52,
    LEFT($A382,2)='DB2'!$H$52,'DB2'!$F$52,
    LEFT($A382,2)='DB2'!$I$52,'DB2'!$F$52,
    LEFT($A382,2)='DB2'!$J$44,'DB2'!$F$52,
    LEFT($A382,2)='DB2'!$G$53,'DB2'!$F$53,
    LEFT($A382,2)='DB2'!$G$54,'DB2'!$F$54,
    LEFT($A382,2)=LEFT('DB2'!$G$55,2),'DB2'!$F$55
)</f>
        <v xml:space="preserve">Commissioned Research </v>
      </c>
      <c r="C382" s="12" t="str">
        <f>VLOOKUP($A382,'DB1'!$C:$Q,12,0)</f>
        <v>Preparation of the Voluntary National Review (VNR) on Sustainable Development Goals</v>
      </c>
      <c r="D382" s="11" t="str">
        <f>VLOOKUP($A382,'DB1'!$C:$Q,13,0)</f>
        <v xml:space="preserve">Kim, Taehyun </v>
      </c>
      <c r="E382" s="12" t="str">
        <f>VLOOKUP($A382,'DB1'!$C:$Q,14,0)</f>
        <v>Sustainable Development</v>
      </c>
      <c r="F382" s="12">
        <f>VLOOKUP($A382,'DB1'!$C:$Q,15,0)</f>
        <v>0</v>
      </c>
      <c r="G382" s="13">
        <f>VLOOKUP($A382,'DB1'!$C:$Q,9,0)</f>
        <v>46142</v>
      </c>
      <c r="H382" s="13">
        <f>VLOOKUP($A382,'DB1'!$C:$Q,10,0)</f>
        <v>46371</v>
      </c>
    </row>
    <row r="383" spans="1:8" ht="33">
      <c r="A383" s="29" t="s">
        <v>2412</v>
      </c>
      <c r="B383" s="12" t="str" cm="1">
        <f t="array" ref="B383">_xlfn.IFS(
    LEFT($A383,2)='DB2'!$G$56,'DB2'!$F$56,
    LEFT($A383,2)='DB2'!$G$51,'DB2'!$F$51,
    LEFT($A383,2)='DB2'!$G$52,'DB2'!$F$52,
    LEFT($A383,2)='DB2'!$H$52,'DB2'!$F$52,
    LEFT($A383,2)='DB2'!$I$52,'DB2'!$F$52,
    LEFT($A383,2)='DB2'!$J$44,'DB2'!$F$52,
    LEFT($A383,2)='DB2'!$G$53,'DB2'!$F$53,
    LEFT($A383,2)='DB2'!$G$54,'DB2'!$F$54,
    LEFT($A383,2)=LEFT('DB2'!$G$55,2),'DB2'!$F$55
)</f>
        <v xml:space="preserve">Commissioned Research </v>
      </c>
      <c r="C383" s="12" t="str">
        <f>VLOOKUP($A383,'DB1'!$C:$Q,12,0)</f>
        <v>Study on the Comprehensive Revision of the Act on Resource Circulation of Electrical and Electronic Equipment</v>
      </c>
      <c r="D383" s="11" t="str">
        <f>VLOOKUP($A383,'DB1'!$C:$Q,13,0)</f>
        <v>Jo, Ji Hye</v>
      </c>
      <c r="E383" s="12" t="str">
        <f>VLOOKUP($A383,'DB1'!$C:$Q,14,0)</f>
        <v>Circular Economy</v>
      </c>
      <c r="F383" s="12">
        <f>VLOOKUP($A383,'DB1'!$C:$Q,15,0)</f>
        <v>0</v>
      </c>
      <c r="G383" s="13">
        <f>VLOOKUP($A383,'DB1'!$C:$Q,9,0)</f>
        <v>46149</v>
      </c>
      <c r="H383" s="13">
        <f>VLOOKUP($A383,'DB1'!$C:$Q,10,0)</f>
        <v>46387</v>
      </c>
    </row>
    <row r="384" spans="1:8" ht="33">
      <c r="A384" s="29" t="s">
        <v>2415</v>
      </c>
      <c r="B384" s="12" t="str" cm="1">
        <f t="array" ref="B384">_xlfn.IFS(
    LEFT($A384,2)='DB2'!$G$56,'DB2'!$F$56,
    LEFT($A384,2)='DB2'!$G$51,'DB2'!$F$51,
    LEFT($A384,2)='DB2'!$G$52,'DB2'!$F$52,
    LEFT($A384,2)='DB2'!$H$52,'DB2'!$F$52,
    LEFT($A384,2)='DB2'!$I$52,'DB2'!$F$52,
    LEFT($A384,2)='DB2'!$J$44,'DB2'!$F$52,
    LEFT($A384,2)='DB2'!$G$53,'DB2'!$F$53,
    LEFT($A384,2)='DB2'!$G$54,'DB2'!$F$54,
    LEFT($A384,2)=LEFT('DB2'!$G$55,2),'DB2'!$F$55
)</f>
        <v xml:space="preserve">Commissioned Research </v>
      </c>
      <c r="C384" s="12" t="str">
        <f>VLOOKUP($A384,'DB1'!$C:$Q,12,0)</f>
        <v>Indicator Development and Assessment for Evaluating National Biodiversity Strategy Implementation (Year 3)</v>
      </c>
      <c r="D384" s="11" t="str">
        <f>VLOOKUP($A384,'DB1'!$C:$Q,13,0)</f>
        <v xml:space="preserve">Kim, Hyunjung </v>
      </c>
      <c r="E384" s="12" t="str">
        <f>VLOOKUP($A384,'DB1'!$C:$Q,14,0)</f>
        <v>Ecology</v>
      </c>
      <c r="F384" s="12">
        <f>VLOOKUP($A384,'DB1'!$C:$Q,15,0)</f>
        <v>0</v>
      </c>
      <c r="G384" s="13">
        <f>VLOOKUP($A384,'DB1'!$C:$Q,9,0)</f>
        <v>46155</v>
      </c>
      <c r="H384" s="13">
        <f>VLOOKUP($A384,'DB1'!$C:$Q,10,0)</f>
        <v>46356</v>
      </c>
    </row>
    <row r="385" spans="1:8" ht="33">
      <c r="A385" s="29" t="s">
        <v>2417</v>
      </c>
      <c r="B385" s="12" t="str" cm="1">
        <f t="array" ref="B385">_xlfn.IFS(
    LEFT($A385,2)='DB2'!$G$56,'DB2'!$F$56,
    LEFT($A385,2)='DB2'!$G$51,'DB2'!$F$51,
    LEFT($A385,2)='DB2'!$G$52,'DB2'!$F$52,
    LEFT($A385,2)='DB2'!$H$52,'DB2'!$F$52,
    LEFT($A385,2)='DB2'!$I$52,'DB2'!$F$52,
    LEFT($A385,2)='DB2'!$J$44,'DB2'!$F$52,
    LEFT($A385,2)='DB2'!$G$53,'DB2'!$F$53,
    LEFT($A385,2)='DB2'!$G$54,'DB2'!$F$54,
    LEFT($A385,2)=LEFT('DB2'!$G$55,2),'DB2'!$F$55
)</f>
        <v xml:space="preserve">Commissioned Research </v>
      </c>
      <c r="C385" s="12" t="str">
        <f>VLOOKUP($A385,'DB1'!$C:$Q,12,0)</f>
        <v>Developing a Methodology for an Air Quality Perception Index Using News Big Data and Large Language Models</v>
      </c>
      <c r="D385" s="11" t="str">
        <f>VLOOKUP($A385,'DB1'!$C:$Q,13,0)</f>
        <v xml:space="preserve">Han, Jihyun </v>
      </c>
      <c r="E385" s="12" t="str">
        <f>VLOOKUP($A385,'DB1'!$C:$Q,14,0)</f>
        <v>Atmospheric Environment</v>
      </c>
      <c r="F385" s="12" t="str">
        <f>VLOOKUP($A385,'DB1'!$C:$Q,15,0)</f>
        <v>AI and Environmental Informatics</v>
      </c>
      <c r="G385" s="13">
        <f>VLOOKUP($A385,'DB1'!$C:$Q,9,0)</f>
        <v>46160</v>
      </c>
      <c r="H385" s="13">
        <f>VLOOKUP($A385,'DB1'!$C:$Q,10,0)</f>
        <v>46356</v>
      </c>
    </row>
    <row r="386" spans="1:8" ht="33">
      <c r="A386" s="29" t="s">
        <v>2419</v>
      </c>
      <c r="B386" s="12" t="str" cm="1">
        <f t="array" ref="B386">_xlfn.IFS(
    LEFT($A386,2)='DB2'!$G$56,'DB2'!$F$56,
    LEFT($A386,2)='DB2'!$G$51,'DB2'!$F$51,
    LEFT($A386,2)='DB2'!$G$52,'DB2'!$F$52,
    LEFT($A386,2)='DB2'!$H$52,'DB2'!$F$52,
    LEFT($A386,2)='DB2'!$I$52,'DB2'!$F$52,
    LEFT($A386,2)='DB2'!$J$44,'DB2'!$F$52,
    LEFT($A386,2)='DB2'!$G$53,'DB2'!$F$53,
    LEFT($A386,2)='DB2'!$G$54,'DB2'!$F$54,
    LEFT($A386,2)=LEFT('DB2'!$G$55,2),'DB2'!$F$55
)</f>
        <v xml:space="preserve">Commissioned Research </v>
      </c>
      <c r="C386" s="12" t="str">
        <f>VLOOKUP($A386,'DB1'!$C:$Q,12,0)</f>
        <v>Assessing Interactions Between Air Quality and Climate Policies</v>
      </c>
      <c r="D386" s="11" t="str">
        <f>VLOOKUP($A386,'DB1'!$C:$Q,13,0)</f>
        <v>Lee, Seungmin</v>
      </c>
      <c r="E386" s="12" t="str">
        <f>VLOOKUP($A386,'DB1'!$C:$Q,14,0)</f>
        <v>Atmospheric Environment</v>
      </c>
      <c r="F386" s="12" t="str">
        <f>VLOOKUP($A386,'DB1'!$C:$Q,15,0)</f>
        <v>Climate Adaptation</v>
      </c>
      <c r="G386" s="13">
        <f>VLOOKUP($A386,'DB1'!$C:$Q,9,0)</f>
        <v>46161</v>
      </c>
      <c r="H386" s="13">
        <f>VLOOKUP($A386,'DB1'!$C:$Q,10,0)</f>
        <v>46340</v>
      </c>
    </row>
    <row r="387" spans="1:8" ht="33">
      <c r="A387" s="29" t="s">
        <v>2422</v>
      </c>
      <c r="B387" s="12" t="str" cm="1">
        <f t="array" ref="B387">_xlfn.IFS(
    LEFT($A387,2)='DB2'!$G$56,'DB2'!$F$56,
    LEFT($A387,2)='DB2'!$G$51,'DB2'!$F$51,
    LEFT($A387,2)='DB2'!$G$52,'DB2'!$F$52,
    LEFT($A387,2)='DB2'!$H$52,'DB2'!$F$52,
    LEFT($A387,2)='DB2'!$I$52,'DB2'!$F$52,
    LEFT($A387,2)='DB2'!$J$44,'DB2'!$F$52,
    LEFT($A387,2)='DB2'!$G$53,'DB2'!$F$53,
    LEFT($A387,2)='DB2'!$G$54,'DB2'!$F$54,
    LEFT($A387,2)=LEFT('DB2'!$G$55,2),'DB2'!$F$55
)</f>
        <v xml:space="preserve">Commissioned Research </v>
      </c>
      <c r="C387" s="12" t="str">
        <f>VLOOKUP($A387,'DB1'!$C:$Q,12,0)</f>
        <v>Enhancing the Carbon Neutrality Monitoring Framework and Operational Infrastructure</v>
      </c>
      <c r="D387" s="11" t="str">
        <f>VLOOKUP($A387,'DB1'!$C:$Q,13,0)</f>
        <v>Shin, Dong Won</v>
      </c>
      <c r="E387" s="12" t="str">
        <f>VLOOKUP($A387,'DB1'!$C:$Q,14,0)</f>
        <v>Carbon Neutrality and Energy</v>
      </c>
      <c r="F387" s="12">
        <f>VLOOKUP($A387,'DB1'!$C:$Q,15,0)</f>
        <v>0</v>
      </c>
      <c r="G387" s="13">
        <f>VLOOKUP($A387,'DB1'!$C:$Q,9,0)</f>
        <v>46164</v>
      </c>
      <c r="H387" s="13">
        <f>VLOOKUP($A387,'DB1'!$C:$Q,10,0)</f>
        <v>46371</v>
      </c>
    </row>
    <row r="388" spans="1:8" ht="33">
      <c r="A388" s="29" t="s">
        <v>2424</v>
      </c>
      <c r="B388" s="12" t="str" cm="1">
        <f t="array" ref="B388">_xlfn.IFS(
    LEFT($A388,2)='DB2'!$G$56,'DB2'!$F$56,
    LEFT($A388,2)='DB2'!$G$51,'DB2'!$F$51,
    LEFT($A388,2)='DB2'!$G$52,'DB2'!$F$52,
    LEFT($A388,2)='DB2'!$H$52,'DB2'!$F$52,
    LEFT($A388,2)='DB2'!$I$52,'DB2'!$F$52,
    LEFT($A388,2)='DB2'!$J$44,'DB2'!$F$52,
    LEFT($A388,2)='DB2'!$G$53,'DB2'!$F$53,
    LEFT($A388,2)='DB2'!$G$54,'DB2'!$F$54,
    LEFT($A388,2)=LEFT('DB2'!$G$55,2),'DB2'!$F$55
)</f>
        <v xml:space="preserve">Commissioned Research </v>
      </c>
      <c r="C388" s="12" t="str">
        <f>VLOOKUP($A388,'DB1'!$C:$Q,12,0)</f>
        <v>Establishing Priority Lists for Chemical Risk Assessment</v>
      </c>
      <c r="D388" s="11" t="str">
        <f>VLOOKUP($A388,'DB1'!$C:$Q,13,0)</f>
        <v>Jeong, Yunsun</v>
      </c>
      <c r="E388" s="12" t="str">
        <f>VLOOKUP($A388,'DB1'!$C:$Q,14,0)</f>
        <v>Environmental Health</v>
      </c>
      <c r="F388" s="12">
        <f>VLOOKUP($A388,'DB1'!$C:$Q,15,0)</f>
        <v>0</v>
      </c>
      <c r="G388" s="13">
        <f>VLOOKUP($A388,'DB1'!$C:$Q,9,0)</f>
        <v>46170</v>
      </c>
      <c r="H388" s="13">
        <f>VLOOKUP($A388,'DB1'!$C:$Q,10,0)</f>
        <v>46379</v>
      </c>
    </row>
    <row r="389" spans="1:8" ht="33">
      <c r="A389" s="29" t="s">
        <v>2427</v>
      </c>
      <c r="B389" s="12" t="str" cm="1">
        <f t="array" ref="B389">_xlfn.IFS(
    LEFT($A389,2)='DB2'!$G$56,'DB2'!$F$56,
    LEFT($A389,2)='DB2'!$G$51,'DB2'!$F$51,
    LEFT($A389,2)='DB2'!$G$52,'DB2'!$F$52,
    LEFT($A389,2)='DB2'!$H$52,'DB2'!$F$52,
    LEFT($A389,2)='DB2'!$I$52,'DB2'!$F$52,
    LEFT($A389,2)='DB2'!$J$44,'DB2'!$F$52,
    LEFT($A389,2)='DB2'!$G$53,'DB2'!$F$53,
    LEFT($A389,2)='DB2'!$G$54,'DB2'!$F$54,
    LEFT($A389,2)=LEFT('DB2'!$G$55,2),'DB2'!$F$55
)</f>
        <v xml:space="preserve">Commissioned Research </v>
      </c>
      <c r="C389" s="12" t="str">
        <f>VLOOKUP($A389,'DB1'!$C:$Q,12,0)</f>
        <v>Feasibility Study for the Designation of an Ecological Restoration-Oriented National Recreation Park</v>
      </c>
      <c r="D389" s="11" t="str">
        <f>VLOOKUP($A389,'DB1'!$C:$Q,13,0)</f>
        <v>Lee, Seungjun</v>
      </c>
      <c r="E389" s="12" t="str">
        <f>VLOOKUP($A389,'DB1'!$C:$Q,14,0)</f>
        <v>Ecology</v>
      </c>
      <c r="F389" s="12">
        <f>VLOOKUP($A389,'DB1'!$C:$Q,15,0)</f>
        <v>0</v>
      </c>
      <c r="G389" s="13">
        <f>VLOOKUP($A389,'DB1'!$C:$Q,9,0)</f>
        <v>46184</v>
      </c>
      <c r="H389" s="13">
        <f>VLOOKUP($A389,'DB1'!$C:$Q,10,0)</f>
        <v>46487</v>
      </c>
    </row>
    <row r="390" spans="1:8" ht="33">
      <c r="A390" s="29" t="s">
        <v>2432</v>
      </c>
      <c r="B390" s="12" t="str" cm="1">
        <f t="array" ref="B390">_xlfn.IFS(
    LEFT($A390,2)='DB2'!$G$56,'DB2'!$F$56,
    LEFT($A390,2)='DB2'!$G$51,'DB2'!$F$51,
    LEFT($A390,2)='DB2'!$G$52,'DB2'!$F$52,
    LEFT($A390,2)='DB2'!$H$52,'DB2'!$F$52,
    LEFT($A390,2)='DB2'!$I$52,'DB2'!$F$52,
    LEFT($A390,2)='DB2'!$J$44,'DB2'!$F$52,
    LEFT($A390,2)='DB2'!$G$53,'DB2'!$F$53,
    LEFT($A390,2)='DB2'!$G$54,'DB2'!$F$54,
    LEFT($A390,2)=LEFT('DB2'!$G$55,2),'DB2'!$F$55
)</f>
        <v xml:space="preserve">Commissioned Research </v>
      </c>
      <c r="C390" s="12" t="str">
        <f>VLOOKUP($A390,'DB1'!$C:$Q,12,0)</f>
        <v>Strategic Responses to the 2026 OECD IFCMA and Climate Club Discussions</v>
      </c>
      <c r="D390" s="11" t="str">
        <f>VLOOKUP($A390,'DB1'!$C:$Q,13,0)</f>
        <v xml:space="preserve">Moon, Jongwoo </v>
      </c>
      <c r="E390" s="12" t="str">
        <f>VLOOKUP($A390,'DB1'!$C:$Q,14,0)</f>
        <v>Carbon Neutrality and Energy</v>
      </c>
      <c r="F390" s="12" t="str">
        <f>VLOOKUP($A390,'DB1'!$C:$Q,15,0)</f>
        <v>International Environmental Collaboration</v>
      </c>
      <c r="G390" s="13">
        <f>VLOOKUP($A390,'DB1'!$C:$Q,9,0)</f>
        <v>46188</v>
      </c>
      <c r="H390" s="13">
        <f>VLOOKUP($A390,'DB1'!$C:$Q,10,0)</f>
        <v>46446</v>
      </c>
    </row>
    <row r="391" spans="1:8" ht="33">
      <c r="A391" s="29" t="s">
        <v>2434</v>
      </c>
      <c r="B391" s="12" t="str" cm="1">
        <f t="array" ref="B391">_xlfn.IFS(
    LEFT($A391,2)='DB2'!$G$56,'DB2'!$F$56,
    LEFT($A391,2)='DB2'!$G$51,'DB2'!$F$51,
    LEFT($A391,2)='DB2'!$G$52,'DB2'!$F$52,
    LEFT($A391,2)='DB2'!$H$52,'DB2'!$F$52,
    LEFT($A391,2)='DB2'!$I$52,'DB2'!$F$52,
    LEFT($A391,2)='DB2'!$J$44,'DB2'!$F$52,
    LEFT($A391,2)='DB2'!$G$53,'DB2'!$F$53,
    LEFT($A391,2)='DB2'!$G$54,'DB2'!$F$54,
    LEFT($A391,2)=LEFT('DB2'!$G$55,2),'DB2'!$F$55
)</f>
        <v xml:space="preserve">Commissioned Research </v>
      </c>
      <c r="C391" s="12" t="str">
        <f>VLOOKUP($A391,'DB1'!$C:$Q,12,0)</f>
        <v>Development of an MRV System for Land Use and Land-Use Change (Phase 4)</v>
      </c>
      <c r="D391" s="11" t="str">
        <f>VLOOKUP($A391,'DB1'!$C:$Q,13,0)</f>
        <v>Lee, MoungJin</v>
      </c>
      <c r="E391" s="12" t="str">
        <f>VLOOKUP($A391,'DB1'!$C:$Q,14,0)</f>
        <v>Carbon Neutrality and Energy</v>
      </c>
      <c r="F391" s="12" t="str">
        <f>VLOOKUP($A391,'DB1'!$C:$Q,15,0)</f>
        <v>Land and Urban Environment</v>
      </c>
      <c r="G391" s="13">
        <f>VLOOKUP($A391,'DB1'!$C:$Q,9,0)</f>
        <v>46185</v>
      </c>
      <c r="H391" s="13">
        <f>VLOOKUP($A391,'DB1'!$C:$Q,10,0)</f>
        <v>46550</v>
      </c>
    </row>
    <row r="392" spans="1:8" ht="33">
      <c r="A392" s="29" t="s">
        <v>2435</v>
      </c>
      <c r="B392" s="12" t="str" cm="1">
        <f t="array" ref="B392">_xlfn.IFS(
    LEFT($A392,2)='DB2'!$G$56,'DB2'!$F$56,
    LEFT($A392,2)='DB2'!$G$51,'DB2'!$F$51,
    LEFT($A392,2)='DB2'!$G$52,'DB2'!$F$52,
    LEFT($A392,2)='DB2'!$H$52,'DB2'!$F$52,
    LEFT($A392,2)='DB2'!$I$52,'DB2'!$F$52,
    LEFT($A392,2)='DB2'!$J$44,'DB2'!$F$52,
    LEFT($A392,2)='DB2'!$G$53,'DB2'!$F$53,
    LEFT($A392,2)='DB2'!$G$54,'DB2'!$F$54,
    LEFT($A392,2)=LEFT('DB2'!$G$55,2),'DB2'!$F$55
)</f>
        <v xml:space="preserve">Commissioned Research </v>
      </c>
      <c r="C392" s="12" t="str">
        <f>VLOOKUP($A392,'DB1'!$C:$Q,12,0)</f>
        <v>Field Investigation of Corbicula japonica Habitats in the Lower Seomjin River</v>
      </c>
      <c r="D392" s="11" t="str">
        <f>VLOOKUP($A392,'DB1'!$C:$Q,13,0)</f>
        <v>Baek, Donghae</v>
      </c>
      <c r="E392" s="12" t="str">
        <f>VLOOKUP($A392,'DB1'!$C:$Q,14,0)</f>
        <v>Marine Environment</v>
      </c>
      <c r="F392" s="12" t="str">
        <f>VLOOKUP($A392,'DB1'!$C:$Q,15,0)</f>
        <v>Ecology</v>
      </c>
      <c r="G392" s="13">
        <f>VLOOKUP($A392,'DB1'!$C:$Q,9,0)</f>
        <v>46184</v>
      </c>
      <c r="H392" s="13">
        <f>VLOOKUP($A392,'DB1'!$C:$Q,10,0)</f>
        <v>46601</v>
      </c>
    </row>
    <row r="393" spans="1:8" ht="33">
      <c r="A393" s="29" t="s">
        <v>2437</v>
      </c>
      <c r="B393" s="12" t="str" cm="1">
        <f t="array" ref="B393">_xlfn.IFS(
    LEFT($A393,2)='DB2'!$G$56,'DB2'!$F$56,
    LEFT($A393,2)='DB2'!$G$51,'DB2'!$F$51,
    LEFT($A393,2)='DB2'!$G$52,'DB2'!$F$52,
    LEFT($A393,2)='DB2'!$H$52,'DB2'!$F$52,
    LEFT($A393,2)='DB2'!$I$52,'DB2'!$F$52,
    LEFT($A393,2)='DB2'!$J$44,'DB2'!$F$52,
    LEFT($A393,2)='DB2'!$G$53,'DB2'!$F$53,
    LEFT($A393,2)='DB2'!$G$54,'DB2'!$F$54,
    LEFT($A393,2)=LEFT('DB2'!$G$55,2),'DB2'!$F$55
)</f>
        <v xml:space="preserve">Commissioned Research </v>
      </c>
      <c r="C393" s="12" t="str">
        <f>VLOOKUP($A393,'DB1'!$C:$Q,12,0)</f>
        <v>Evaluation of the 2025 Implementation of the Second Comprehensive Plan for Fine Dust Management (2025–2029)</v>
      </c>
      <c r="D393" s="11" t="str">
        <f>VLOOKUP($A393,'DB1'!$C:$Q,13,0)</f>
        <v xml:space="preserve">Han, Jihyun </v>
      </c>
      <c r="E393" s="12" t="str">
        <f>VLOOKUP($A393,'DB1'!$C:$Q,14,0)</f>
        <v>Atmospheric Environment</v>
      </c>
      <c r="F393" s="12">
        <f>VLOOKUP($A393,'DB1'!$C:$Q,15,0)</f>
        <v>0</v>
      </c>
      <c r="G393" s="13">
        <f>VLOOKUP($A393,'DB1'!$C:$Q,9,0)</f>
        <v>46190</v>
      </c>
      <c r="H393" s="13">
        <f>VLOOKUP($A393,'DB1'!$C:$Q,10,0)</f>
        <v>46374</v>
      </c>
    </row>
    <row r="394" spans="1:8" ht="33">
      <c r="A394" s="29" t="s">
        <v>2439</v>
      </c>
      <c r="B394" s="12" t="str" cm="1">
        <f t="array" ref="B394">_xlfn.IFS(
    LEFT($A394,2)='DB2'!$G$56,'DB2'!$F$56,
    LEFT($A394,2)='DB2'!$G$51,'DB2'!$F$51,
    LEFT($A394,2)='DB2'!$G$52,'DB2'!$F$52,
    LEFT($A394,2)='DB2'!$H$52,'DB2'!$F$52,
    LEFT($A394,2)='DB2'!$I$52,'DB2'!$F$52,
    LEFT($A394,2)='DB2'!$J$44,'DB2'!$F$52,
    LEFT($A394,2)='DB2'!$G$53,'DB2'!$F$53,
    LEFT($A394,2)='DB2'!$G$54,'DB2'!$F$54,
    LEFT($A394,2)=LEFT('DB2'!$G$55,2),'DB2'!$F$55
)</f>
        <v xml:space="preserve">Commissioned Research </v>
      </c>
      <c r="C394" s="12" t="str">
        <f>VLOOKUP($A394,'DB1'!$C:$Q,12,0)</f>
        <v>Assessment of Air Quality Policy Performance in Korea and Future Directions</v>
      </c>
      <c r="D394" s="11" t="str">
        <f>VLOOKUP($A394,'DB1'!$C:$Q,13,0)</f>
        <v>Gong, Sungyong</v>
      </c>
      <c r="E394" s="12" t="str">
        <f>VLOOKUP($A394,'DB1'!$C:$Q,14,0)</f>
        <v>Atmospheric Environment</v>
      </c>
      <c r="F394" s="12">
        <f>VLOOKUP($A394,'DB1'!$C:$Q,15,0)</f>
        <v>0</v>
      </c>
      <c r="G394" s="13">
        <f>VLOOKUP($A394,'DB1'!$C:$Q,9,0)</f>
        <v>46189</v>
      </c>
      <c r="H394" s="13">
        <f>VLOOKUP($A394,'DB1'!$C:$Q,10,0)</f>
        <v>46279</v>
      </c>
    </row>
    <row r="395" spans="1:8" ht="33">
      <c r="A395" s="29" t="s">
        <v>2442</v>
      </c>
      <c r="B395" s="12" t="str" cm="1">
        <f t="array" ref="B395">_xlfn.IFS(
    LEFT($A395,2)='DB2'!$G$56,'DB2'!$F$56,
    LEFT($A395,2)='DB2'!$G$51,'DB2'!$F$51,
    LEFT($A395,2)='DB2'!$G$52,'DB2'!$F$52,
    LEFT($A395,2)='DB2'!$H$52,'DB2'!$F$52,
    LEFT($A395,2)='DB2'!$I$52,'DB2'!$F$52,
    LEFT($A395,2)='DB2'!$J$44,'DB2'!$F$52,
    LEFT($A395,2)='DB2'!$G$53,'DB2'!$F$53,
    LEFT($A395,2)='DB2'!$G$54,'DB2'!$F$54,
    LEFT($A395,2)=LEFT('DB2'!$G$55,2),'DB2'!$F$55
)</f>
        <v xml:space="preserve">Commissioned Research </v>
      </c>
      <c r="C395" s="12" t="str">
        <f>VLOOKUP($A395,'DB1'!$C:$Q,12,0)</f>
        <v>Strengthening the Foundation for Water Sector Initiatives</v>
      </c>
      <c r="D395" s="11" t="str">
        <f>VLOOKUP($A395,'DB1'!$C:$Q,13,0)</f>
        <v xml:space="preserve">Oh, Myoungjin </v>
      </c>
      <c r="E395" s="12" t="str">
        <f>VLOOKUP($A395,'DB1'!$C:$Q,14,0)</f>
        <v>Water Management</v>
      </c>
      <c r="F395" s="12">
        <f>VLOOKUP($A395,'DB1'!$C:$Q,15,0)</f>
        <v>0</v>
      </c>
      <c r="G395" s="13">
        <f>VLOOKUP($A395,'DB1'!$C:$Q,9,0)</f>
        <v>46189</v>
      </c>
      <c r="H395" s="13">
        <f>VLOOKUP($A395,'DB1'!$C:$Q,10,0)</f>
        <v>46399</v>
      </c>
    </row>
    <row r="396" spans="1:8" ht="33">
      <c r="A396" s="29" t="s">
        <v>2445</v>
      </c>
      <c r="B396" s="12" t="str" cm="1">
        <f t="array" ref="B396">_xlfn.IFS(
    LEFT($A396,2)='DB2'!$G$56,'DB2'!$F$56,
    LEFT($A396,2)='DB2'!$G$51,'DB2'!$F$51,
    LEFT($A396,2)='DB2'!$G$52,'DB2'!$F$52,
    LEFT($A396,2)='DB2'!$H$52,'DB2'!$F$52,
    LEFT($A396,2)='DB2'!$I$52,'DB2'!$F$52,
    LEFT($A396,2)='DB2'!$J$44,'DB2'!$F$52,
    LEFT($A396,2)='DB2'!$G$53,'DB2'!$F$53,
    LEFT($A396,2)='DB2'!$G$54,'DB2'!$F$54,
    LEFT($A396,2)=LEFT('DB2'!$G$55,2),'DB2'!$F$55
)</f>
        <v xml:space="preserve">Commissioned Research </v>
      </c>
      <c r="C396" s="12" t="str">
        <f>VLOOKUP($A396,'DB1'!$C:$Q,12,0)</f>
        <v>Developing Evaluation and Training Frameworks for Public Sewerage Technical Assessments</v>
      </c>
      <c r="D396" s="11" t="str">
        <f>VLOOKUP($A396,'DB1'!$C:$Q,13,0)</f>
        <v>Ryu, Jaena</v>
      </c>
      <c r="E396" s="12" t="str">
        <f>VLOOKUP($A396,'DB1'!$C:$Q,14,0)</f>
        <v>Water Management</v>
      </c>
      <c r="F396" s="12">
        <f>VLOOKUP($A396,'DB1'!$C:$Q,15,0)</f>
        <v>0</v>
      </c>
      <c r="G396" s="13">
        <f>VLOOKUP($A396,'DB1'!$C:$Q,9,0)</f>
        <v>46190</v>
      </c>
      <c r="H396" s="13">
        <f>VLOOKUP($A396,'DB1'!$C:$Q,10,0)</f>
        <v>46490</v>
      </c>
    </row>
    <row r="397" spans="1:8" ht="33">
      <c r="A397" s="29" t="s">
        <v>2448</v>
      </c>
      <c r="B397" s="12" t="str" cm="1">
        <f t="array" ref="B397">_xlfn.IFS(
    LEFT($A397,2)='DB2'!$G$56,'DB2'!$F$56,
    LEFT($A397,2)='DB2'!$G$51,'DB2'!$F$51,
    LEFT($A397,2)='DB2'!$G$52,'DB2'!$F$52,
    LEFT($A397,2)='DB2'!$H$52,'DB2'!$F$52,
    LEFT($A397,2)='DB2'!$I$52,'DB2'!$F$52,
    LEFT($A397,2)='DB2'!$J$44,'DB2'!$F$52,
    LEFT($A397,2)='DB2'!$G$53,'DB2'!$F$53,
    LEFT($A397,2)='DB2'!$G$54,'DB2'!$F$54,
    LEFT($A397,2)=LEFT('DB2'!$G$55,2),'DB2'!$F$55
)</f>
        <v xml:space="preserve">Commissioned Research </v>
      </c>
      <c r="C397" s="12" t="str">
        <f>VLOOKUP($A397,'DB1'!$C:$Q,12,0)</f>
        <v>Strategies for Ecological Restoration of the Geum and Yeongsan River Estuaries</v>
      </c>
      <c r="D397" s="11" t="str">
        <f>VLOOKUP($A397,'DB1'!$C:$Q,13,0)</f>
        <v>Kim, Yeonjoong</v>
      </c>
      <c r="E397" s="12" t="str">
        <f>VLOOKUP($A397,'DB1'!$C:$Q,14,0)</f>
        <v>Ecology</v>
      </c>
      <c r="F397" s="12" t="str">
        <f>VLOOKUP($A397,'DB1'!$C:$Q,15,0)</f>
        <v>Water Management</v>
      </c>
      <c r="G397" s="13">
        <f>VLOOKUP($A397,'DB1'!$C:$Q,9,0)</f>
        <v>46189</v>
      </c>
      <c r="H397" s="13">
        <f>VLOOKUP($A397,'DB1'!$C:$Q,10,0)</f>
        <v>46729</v>
      </c>
    </row>
    <row r="398" spans="1:8" ht="33">
      <c r="A398" s="29" t="s">
        <v>2451</v>
      </c>
      <c r="B398" s="12" t="str" cm="1">
        <f t="array" ref="B398">_xlfn.IFS(
    LEFT($A398,2)='DB2'!$G$56,'DB2'!$F$56,
    LEFT($A398,2)='DB2'!$G$51,'DB2'!$F$51,
    LEFT($A398,2)='DB2'!$G$52,'DB2'!$F$52,
    LEFT($A398,2)='DB2'!$H$52,'DB2'!$F$52,
    LEFT($A398,2)='DB2'!$I$52,'DB2'!$F$52,
    LEFT($A398,2)='DB2'!$J$44,'DB2'!$F$52,
    LEFT($A398,2)='DB2'!$G$53,'DB2'!$F$53,
    LEFT($A398,2)='DB2'!$G$54,'DB2'!$F$54,
    LEFT($A398,2)=LEFT('DB2'!$G$55,2),'DB2'!$F$55
)</f>
        <v xml:space="preserve">Commissioned Research </v>
      </c>
      <c r="C398" s="12" t="str">
        <f>VLOOKUP($A398,'DB1'!$C:$Q,12,0)</f>
        <v>Developing a Long-Term Strategy for Monitoring Biodiversity Changes under Climate Change</v>
      </c>
      <c r="D398" s="11" t="str">
        <f>VLOOKUP($A398,'DB1'!$C:$Q,13,0)</f>
        <v>Kim, Yoonjung</v>
      </c>
      <c r="E398" s="12" t="str">
        <f>VLOOKUP($A398,'DB1'!$C:$Q,14,0)</f>
        <v>Ecology</v>
      </c>
      <c r="F398" s="12" t="str">
        <f>VLOOKUP($A398,'DB1'!$C:$Q,15,0)</f>
        <v>Climate Adaptation</v>
      </c>
      <c r="G398" s="13">
        <f>VLOOKUP($A398,'DB1'!$C:$Q,9,0)</f>
        <v>46188</v>
      </c>
      <c r="H398" s="13">
        <f>VLOOKUP($A398,'DB1'!$C:$Q,10,0)</f>
        <v>46371</v>
      </c>
    </row>
    <row r="399" spans="1:8" ht="33">
      <c r="A399" s="29" t="s">
        <v>2453</v>
      </c>
      <c r="B399" s="12" t="str" cm="1">
        <f t="array" ref="B399">_xlfn.IFS(
    LEFT($A399,2)='DB2'!$G$56,'DB2'!$F$56,
    LEFT($A399,2)='DB2'!$G$51,'DB2'!$F$51,
    LEFT($A399,2)='DB2'!$G$52,'DB2'!$F$52,
    LEFT($A399,2)='DB2'!$H$52,'DB2'!$F$52,
    LEFT($A399,2)='DB2'!$I$52,'DB2'!$F$52,
    LEFT($A399,2)='DB2'!$J$44,'DB2'!$F$52,
    LEFT($A399,2)='DB2'!$G$53,'DB2'!$F$53,
    LEFT($A399,2)='DB2'!$G$54,'DB2'!$F$54,
    LEFT($A399,2)=LEFT('DB2'!$G$55,2),'DB2'!$F$55
)</f>
        <v xml:space="preserve">Commissioned Research </v>
      </c>
      <c r="C399" s="12" t="str">
        <f>VLOOKUP($A399,'DB1'!$C:$Q,12,0)</f>
        <v>Policy Measures to Promote the Expansion of Stormwater Retention Facilities</v>
      </c>
      <c r="D399" s="11" t="str">
        <f>VLOOKUP($A399,'DB1'!$C:$Q,13,0)</f>
        <v>Jeon, Dongjin</v>
      </c>
      <c r="E399" s="12" t="str">
        <f>VLOOKUP($A399,'DB1'!$C:$Q,14,0)</f>
        <v>Water Management</v>
      </c>
      <c r="F399" s="12" t="str">
        <f>VLOOKUP($A399,'DB1'!$C:$Q,15,0)</f>
        <v>Climate Adaptation</v>
      </c>
      <c r="G399" s="13">
        <f>VLOOKUP($A399,'DB1'!$C:$Q,9,0)</f>
        <v>46189</v>
      </c>
      <c r="H399" s="13">
        <f>VLOOKUP($A399,'DB1'!$C:$Q,10,0)</f>
        <v>46399</v>
      </c>
    </row>
    <row r="400" spans="1:8" ht="33">
      <c r="A400" s="29" t="s">
        <v>2455</v>
      </c>
      <c r="B400" s="12" t="str" cm="1">
        <f t="array" ref="B400">_xlfn.IFS(
    LEFT($A400,2)='DB2'!$G$56,'DB2'!$F$56,
    LEFT($A400,2)='DB2'!$G$51,'DB2'!$F$51,
    LEFT($A400,2)='DB2'!$G$52,'DB2'!$F$52,
    LEFT($A400,2)='DB2'!$H$52,'DB2'!$F$52,
    LEFT($A400,2)='DB2'!$I$52,'DB2'!$F$52,
    LEFT($A400,2)='DB2'!$J$44,'DB2'!$F$52,
    LEFT($A400,2)='DB2'!$G$53,'DB2'!$F$53,
    LEFT($A400,2)='DB2'!$G$54,'DB2'!$F$54,
    LEFT($A400,2)=LEFT('DB2'!$G$55,2),'DB2'!$F$55
)</f>
        <v xml:space="preserve">Commissioned Research </v>
      </c>
      <c r="C400" s="12" t="str">
        <f>VLOOKUP($A400,'DB1'!$C:$Q,12,0)</f>
        <v>Pilot Implementation of a Digital Twin-Based Environmental Impact Assessment Follow-Up Management System</v>
      </c>
      <c r="D400" s="11" t="str">
        <f>VLOOKUP($A400,'DB1'!$C:$Q,13,0)</f>
        <v>Yun, Seokhwan</v>
      </c>
      <c r="E400" s="12" t="str">
        <f>VLOOKUP($A400,'DB1'!$C:$Q,14,0)</f>
        <v>Environmental Assessment</v>
      </c>
      <c r="F400" s="12" t="str">
        <f>VLOOKUP($A400,'DB1'!$C:$Q,15,0)</f>
        <v>AI and Environmental Informatics</v>
      </c>
      <c r="G400" s="13">
        <f>VLOOKUP($A400,'DB1'!$C:$Q,9,0)</f>
        <v>46192</v>
      </c>
      <c r="H400" s="13">
        <f>VLOOKUP($A400,'DB1'!$C:$Q,10,0)</f>
        <v>46492</v>
      </c>
    </row>
    <row r="401" spans="1:8" ht="33">
      <c r="A401" s="29" t="s">
        <v>2457</v>
      </c>
      <c r="B401" s="12" t="str" cm="1">
        <f t="array" ref="B401">_xlfn.IFS(
    LEFT($A401,2)='DB2'!$G$56,'DB2'!$F$56,
    LEFT($A401,2)='DB2'!$G$51,'DB2'!$F$51,
    LEFT($A401,2)='DB2'!$G$52,'DB2'!$F$52,
    LEFT($A401,2)='DB2'!$H$52,'DB2'!$F$52,
    LEFT($A401,2)='DB2'!$I$52,'DB2'!$F$52,
    LEFT($A401,2)='DB2'!$J$44,'DB2'!$F$52,
    LEFT($A401,2)='DB2'!$G$53,'DB2'!$F$53,
    LEFT($A401,2)='DB2'!$G$54,'DB2'!$F$54,
    LEFT($A401,2)=LEFT('DB2'!$G$55,2),'DB2'!$F$55
)</f>
        <v>General Project</v>
      </c>
      <c r="C401" s="12" t="str">
        <f>VLOOKUP($A401,'DB1'!$C:$Q,12,0)</f>
        <v>Establishing an AI-Based Research Support System and Advancing the Environmental Data Hub</v>
      </c>
      <c r="D401" s="11" t="str">
        <f>VLOOKUP($A401,'DB1'!$C:$Q,13,0)</f>
        <v>Choi, Kwanghun</v>
      </c>
      <c r="E401" s="12" t="str">
        <f>VLOOKUP($A401,'DB1'!$C:$Q,14,0)</f>
        <v>AI and Environmental Informatics</v>
      </c>
      <c r="F401" s="12">
        <f>VLOOKUP($A401,'DB1'!$C:$Q,15,0)</f>
        <v>0</v>
      </c>
      <c r="G401" s="13">
        <f>VLOOKUP($A401,'DB1'!$C:$Q,9,0)</f>
        <v>46113</v>
      </c>
      <c r="H401" s="13">
        <f>VLOOKUP($A401,'DB1'!$C:$Q,10,0)</f>
        <v>46477</v>
      </c>
    </row>
    <row r="402" spans="1:8" ht="33">
      <c r="A402" s="29" t="s">
        <v>2459</v>
      </c>
      <c r="B402" s="12" t="str" cm="1">
        <f t="array" ref="B402">_xlfn.IFS(
    LEFT($A402,2)='DB2'!$G$56,'DB2'!$F$56,
    LEFT($A402,2)='DB2'!$G$51,'DB2'!$F$51,
    LEFT($A402,2)='DB2'!$G$52,'DB2'!$F$52,
    LEFT($A402,2)='DB2'!$H$52,'DB2'!$F$52,
    LEFT($A402,2)='DB2'!$I$52,'DB2'!$F$52,
    LEFT($A402,2)='DB2'!$J$44,'DB2'!$F$52,
    LEFT($A402,2)='DB2'!$G$53,'DB2'!$F$53,
    LEFT($A402,2)='DB2'!$G$54,'DB2'!$F$54,
    LEFT($A402,2)=LEFT('DB2'!$G$55,2),'DB2'!$F$55
)</f>
        <v>General Project</v>
      </c>
      <c r="C402" s="12" t="str">
        <f>VLOOKUP($A402,'DB1'!$C:$Q,12,0)</f>
        <v>Strengthening KEI's International and Regional Cooperation Framework</v>
      </c>
      <c r="D402" s="11" t="str">
        <f>VLOOKUP($A402,'DB1'!$C:$Q,13,0)</f>
        <v>Park, Jun Hyun</v>
      </c>
      <c r="E402" s="12" t="str">
        <f>VLOOKUP($A402,'DB1'!$C:$Q,14,0)</f>
        <v>International Environmental Collaboration</v>
      </c>
      <c r="F402" s="12">
        <f>VLOOKUP($A402,'DB1'!$C:$Q,15,0)</f>
        <v>0</v>
      </c>
      <c r="G402" s="13">
        <f>VLOOKUP($A402,'DB1'!$C:$Q,9,0)</f>
        <v>46113</v>
      </c>
      <c r="H402" s="13">
        <f>VLOOKUP($A402,'DB1'!$C:$Q,10,0)</f>
        <v>46477</v>
      </c>
    </row>
    <row r="403" spans="1:8" ht="33">
      <c r="A403" s="29" t="s">
        <v>2461</v>
      </c>
      <c r="B403" s="12" t="str" cm="1">
        <f t="array" ref="B403">_xlfn.IFS(
    LEFT($A403,2)='DB2'!$G$56,'DB2'!$F$56,
    LEFT($A403,2)='DB2'!$G$51,'DB2'!$F$51,
    LEFT($A403,2)='DB2'!$G$52,'DB2'!$F$52,
    LEFT($A403,2)='DB2'!$H$52,'DB2'!$F$52,
    LEFT($A403,2)='DB2'!$I$52,'DB2'!$F$52,
    LEFT($A403,2)='DB2'!$J$44,'DB2'!$F$52,
    LEFT($A403,2)='DB2'!$G$53,'DB2'!$F$53,
    LEFT($A403,2)='DB2'!$G$54,'DB2'!$F$54,
    LEFT($A403,2)=LEFT('DB2'!$G$55,2),'DB2'!$F$55
)</f>
        <v>General Project</v>
      </c>
      <c r="C403" s="12" t="str">
        <f>VLOOKUP($A403,'DB1'!$C:$Q,12,0)</f>
        <v>Development of E-Learning Content on Climate and Energy</v>
      </c>
      <c r="D403" s="11" t="str">
        <f>VLOOKUP($A403,'DB1'!$C:$Q,13,0)</f>
        <v>Kim, Dokyun</v>
      </c>
      <c r="E403" s="12" t="str">
        <f>VLOOKUP($A403,'DB1'!$C:$Q,14,0)</f>
        <v>Sustainable Development</v>
      </c>
      <c r="F403" s="12">
        <f>VLOOKUP($A403,'DB1'!$C:$Q,15,0)</f>
        <v>0</v>
      </c>
      <c r="G403" s="13">
        <f>VLOOKUP($A403,'DB1'!$C:$Q,9,0)</f>
        <v>46174</v>
      </c>
      <c r="H403" s="13">
        <f>VLOOKUP($A403,'DB1'!$C:$Q,10,0)</f>
        <v>46477</v>
      </c>
    </row>
    <row r="404" spans="1:8" ht="33">
      <c r="A404" s="29" t="s">
        <v>2463</v>
      </c>
      <c r="B404" s="12" t="str" cm="1">
        <f t="array" ref="B404">_xlfn.IFS(
    LEFT($A404,2)='DB2'!$G$56,'DB2'!$F$56,
    LEFT($A404,2)='DB2'!$G$51,'DB2'!$F$51,
    LEFT($A404,2)='DB2'!$G$52,'DB2'!$F$52,
    LEFT($A404,2)='DB2'!$H$52,'DB2'!$F$52,
    LEFT($A404,2)='DB2'!$I$52,'DB2'!$F$52,
    LEFT($A404,2)='DB2'!$J$44,'DB2'!$F$52,
    LEFT($A404,2)='DB2'!$G$53,'DB2'!$F$53,
    LEFT($A404,2)='DB2'!$G$54,'DB2'!$F$54,
    LEFT($A404,2)=LEFT('DB2'!$G$55,2),'DB2'!$F$55
)</f>
        <v>General Project</v>
      </c>
      <c r="C404" s="12" t="str">
        <f>VLOOKUP($A404,'DB1'!$C:$Q,12,0)</f>
        <v>Developing Risk Assessment Methodologies for Compound Climate-Related Hazards and Policy Responses</v>
      </c>
      <c r="D404" s="11" t="str">
        <f>VLOOKUP($A404,'DB1'!$C:$Q,13,0)</f>
        <v>Ryu, Jaena</v>
      </c>
      <c r="E404" s="12" t="str">
        <f>VLOOKUP($A404,'DB1'!$C:$Q,14,0)</f>
        <v>Climate Adaptation</v>
      </c>
      <c r="F404" s="12">
        <f>VLOOKUP($A404,'DB1'!$C:$Q,15,0)</f>
        <v>0</v>
      </c>
      <c r="G404" s="13">
        <f>VLOOKUP($A404,'DB1'!$C:$Q,9,0)</f>
        <v>46113</v>
      </c>
      <c r="H404" s="13">
        <f>VLOOKUP($A404,'DB1'!$C:$Q,10,0)</f>
        <v>46477</v>
      </c>
    </row>
    <row r="405" spans="1:8" ht="33">
      <c r="A405" s="29" t="s">
        <v>2465</v>
      </c>
      <c r="B405" s="12" t="str" cm="1">
        <f t="array" ref="B405">_xlfn.IFS(
    LEFT($A405,2)='DB2'!$G$56,'DB2'!$F$56,
    LEFT($A405,2)='DB2'!$G$51,'DB2'!$F$51,
    LEFT($A405,2)='DB2'!$G$52,'DB2'!$F$52,
    LEFT($A405,2)='DB2'!$H$52,'DB2'!$F$52,
    LEFT($A405,2)='DB2'!$I$52,'DB2'!$F$52,
    LEFT($A405,2)='DB2'!$J$44,'DB2'!$F$52,
    LEFT($A405,2)='DB2'!$G$53,'DB2'!$F$53,
    LEFT($A405,2)='DB2'!$G$54,'DB2'!$F$54,
    LEFT($A405,2)=LEFT('DB2'!$G$55,2),'DB2'!$F$55
)</f>
        <v>General Project</v>
      </c>
      <c r="C405" s="12" t="str">
        <f>VLOOKUP($A405,'DB1'!$C:$Q,12,0)</f>
        <v>Estuary Classification and Restoration Strategies Based on Management Objectives</v>
      </c>
      <c r="D405" s="11" t="str">
        <f>VLOOKUP($A405,'DB1'!$C:$Q,13,0)</f>
        <v>Kim, Yeonjoong</v>
      </c>
      <c r="E405" s="12" t="str">
        <f>VLOOKUP($A405,'DB1'!$C:$Q,14,0)</f>
        <v>Water Management</v>
      </c>
      <c r="F405" s="12">
        <f>VLOOKUP($A405,'DB1'!$C:$Q,15,0)</f>
        <v>0</v>
      </c>
      <c r="G405" s="13">
        <f>VLOOKUP($A405,'DB1'!$C:$Q,9,0)</f>
        <v>46113</v>
      </c>
      <c r="H405" s="13">
        <f>VLOOKUP($A405,'DB1'!$C:$Q,10,0)</f>
        <v>46477</v>
      </c>
    </row>
    <row r="406" spans="1:8" ht="33">
      <c r="A406" s="29" t="s">
        <v>2467</v>
      </c>
      <c r="B406" s="12" t="str" cm="1">
        <f t="array" ref="B406">_xlfn.IFS(
    LEFT($A406,2)='DB2'!$G$56,'DB2'!$F$56,
    LEFT($A406,2)='DB2'!$G$51,'DB2'!$F$51,
    LEFT($A406,2)='DB2'!$G$52,'DB2'!$F$52,
    LEFT($A406,2)='DB2'!$H$52,'DB2'!$F$52,
    LEFT($A406,2)='DB2'!$I$52,'DB2'!$F$52,
    LEFT($A406,2)='DB2'!$J$44,'DB2'!$F$52,
    LEFT($A406,2)='DB2'!$G$53,'DB2'!$F$53,
    LEFT($A406,2)='DB2'!$G$54,'DB2'!$F$54,
    LEFT($A406,2)=LEFT('DB2'!$G$55,2),'DB2'!$F$55
)</f>
        <v>General Project</v>
      </c>
      <c r="C406" s="12" t="str">
        <f>VLOOKUP($A406,'DB1'!$C:$Q,12,0)</f>
        <v>Financing Strategies for Climate Response Funds to Advance Carbon Neutrality</v>
      </c>
      <c r="D406" s="11" t="str">
        <f>VLOOKUP($A406,'DB1'!$C:$Q,13,0)</f>
        <v xml:space="preserve">Lim, Hyungwoo </v>
      </c>
      <c r="E406" s="12" t="str">
        <f>VLOOKUP($A406,'DB1'!$C:$Q,14,0)</f>
        <v>Carbon Neutrality and Energy</v>
      </c>
      <c r="F406" s="12" t="str">
        <f>VLOOKUP($A406,'DB1'!$C:$Q,15,0)</f>
        <v>Environmental Economics</v>
      </c>
      <c r="G406" s="13">
        <f>VLOOKUP($A406,'DB1'!$C:$Q,9,0)</f>
        <v>46113</v>
      </c>
      <c r="H406" s="13">
        <f>VLOOKUP($A406,'DB1'!$C:$Q,10,0)</f>
        <v>46477</v>
      </c>
    </row>
    <row r="407" spans="1:8" ht="33">
      <c r="A407" s="29" t="s">
        <v>2469</v>
      </c>
      <c r="B407" s="12" t="str" cm="1">
        <f t="array" ref="B407">_xlfn.IFS(
    LEFT($A407,2)='DB2'!$G$56,'DB2'!$F$56,
    LEFT($A407,2)='DB2'!$G$51,'DB2'!$F$51,
    LEFT($A407,2)='DB2'!$G$52,'DB2'!$F$52,
    LEFT($A407,2)='DB2'!$H$52,'DB2'!$F$52,
    LEFT($A407,2)='DB2'!$I$52,'DB2'!$F$52,
    LEFT($A407,2)='DB2'!$J$44,'DB2'!$F$52,
    LEFT($A407,2)='DB2'!$G$53,'DB2'!$F$53,
    LEFT($A407,2)='DB2'!$G$54,'DB2'!$F$54,
    LEFT($A407,2)=LEFT('DB2'!$G$55,2),'DB2'!$F$55
)</f>
        <v>General Project</v>
      </c>
      <c r="C407" s="12" t="str">
        <f>VLOOKUP($A407,'DB1'!$C:$Q,12,0)</f>
        <v>Impact Assessment of River Hydraulic Structures under Climate Change and Policy Development</v>
      </c>
      <c r="D407" s="11" t="str">
        <f>VLOOKUP($A407,'DB1'!$C:$Q,13,0)</f>
        <v>Kang, Hyeongsik</v>
      </c>
      <c r="E407" s="12" t="str">
        <f>VLOOKUP($A407,'DB1'!$C:$Q,14,0)</f>
        <v>Water Management</v>
      </c>
      <c r="F407" s="12" t="str">
        <f>VLOOKUP($A407,'DB1'!$C:$Q,15,0)</f>
        <v>Climate Adaptation</v>
      </c>
      <c r="G407" s="13">
        <f>VLOOKUP($A407,'DB1'!$C:$Q,9,0)</f>
        <v>46113</v>
      </c>
      <c r="H407" s="13">
        <f>VLOOKUP($A407,'DB1'!$C:$Q,10,0)</f>
        <v>46477</v>
      </c>
    </row>
    <row r="408" spans="1:8" ht="33">
      <c r="A408" s="29" t="s">
        <v>2471</v>
      </c>
      <c r="B408" s="12" t="str" cm="1">
        <f t="array" ref="B408">_xlfn.IFS(
    LEFT($A408,2)='DB2'!$G$56,'DB2'!$F$56,
    LEFT($A408,2)='DB2'!$G$51,'DB2'!$F$51,
    LEFT($A408,2)='DB2'!$G$52,'DB2'!$F$52,
    LEFT($A408,2)='DB2'!$H$52,'DB2'!$F$52,
    LEFT($A408,2)='DB2'!$I$52,'DB2'!$F$52,
    LEFT($A408,2)='DB2'!$J$44,'DB2'!$F$52,
    LEFT($A408,2)='DB2'!$G$53,'DB2'!$F$53,
    LEFT($A408,2)='DB2'!$G$54,'DB2'!$F$54,
    LEFT($A408,2)=LEFT('DB2'!$G$55,2),'DB2'!$F$55
)</f>
        <v>General Project</v>
      </c>
      <c r="C408" s="12" t="str">
        <f>VLOOKUP($A408,'DB1'!$C:$Q,12,0)</f>
        <v>Developing an Ontology-Based AI Framework for Environmental Policy Decision Support</v>
      </c>
      <c r="D408" s="11" t="str">
        <f>VLOOKUP($A408,'DB1'!$C:$Q,13,0)</f>
        <v>Kim, Kyoung-Ho and Choi, Kwanghun</v>
      </c>
      <c r="E408" s="12" t="str">
        <f>VLOOKUP($A408,'DB1'!$C:$Q,14,0)</f>
        <v>AI and Environmental Informatics</v>
      </c>
      <c r="F408" s="12">
        <f>VLOOKUP($A408,'DB1'!$C:$Q,15,0)</f>
        <v>0</v>
      </c>
      <c r="G408" s="13">
        <f>VLOOKUP($A408,'DB1'!$C:$Q,9,0)</f>
        <v>46113</v>
      </c>
      <c r="H408" s="13">
        <f>VLOOKUP($A408,'DB1'!$C:$Q,10,0)</f>
        <v>46477</v>
      </c>
    </row>
    <row r="409" spans="1:8" ht="33">
      <c r="A409" s="29" t="s">
        <v>2473</v>
      </c>
      <c r="B409" s="12" t="str" cm="1">
        <f t="array" ref="B409">_xlfn.IFS(
    LEFT($A409,2)='DB2'!$G$56,'DB2'!$F$56,
    LEFT($A409,2)='DB2'!$G$51,'DB2'!$F$51,
    LEFT($A409,2)='DB2'!$G$52,'DB2'!$F$52,
    LEFT($A409,2)='DB2'!$H$52,'DB2'!$F$52,
    LEFT($A409,2)='DB2'!$I$52,'DB2'!$F$52,
    LEFT($A409,2)='DB2'!$J$44,'DB2'!$F$52,
    LEFT($A409,2)='DB2'!$G$53,'DB2'!$F$53,
    LEFT($A409,2)='DB2'!$G$54,'DB2'!$F$54,
    LEFT($A409,2)=LEFT('DB2'!$G$55,2),'DB2'!$F$55
)</f>
        <v>General Project</v>
      </c>
      <c r="C409" s="12" t="str">
        <f>VLOOKUP($A409,'DB1'!$C:$Q,12,0)</f>
        <v>A Study on Developing Natural Capital Accounting Data Systems Based on the SEEA Framework</v>
      </c>
      <c r="D409" s="11" t="str">
        <f>VLOOKUP($A409,'DB1'!$C:$Q,13,0)</f>
        <v>Kim, Hyunjung and Park, Jun Hyun</v>
      </c>
      <c r="E409" s="12" t="str">
        <f>VLOOKUP($A409,'DB1'!$C:$Q,14,0)</f>
        <v>Environmental Economics</v>
      </c>
      <c r="F409" s="12" t="str">
        <f>VLOOKUP($A409,'DB1'!$C:$Q,15,0)</f>
        <v>Sustainable Development</v>
      </c>
      <c r="G409" s="13">
        <f>VLOOKUP($A409,'DB1'!$C:$Q,9,0)</f>
        <v>46113</v>
      </c>
      <c r="H409" s="13">
        <f>VLOOKUP($A409,'DB1'!$C:$Q,10,0)</f>
        <v>46477</v>
      </c>
    </row>
    <row r="410" spans="1:8" ht="33">
      <c r="A410" s="29" t="s">
        <v>2476</v>
      </c>
      <c r="B410" s="12" t="str" cm="1">
        <f t="array" ref="B410">_xlfn.IFS(
    LEFT($A410,2)='DB2'!$G$56,'DB2'!$F$56,
    LEFT($A410,2)='DB2'!$G$51,'DB2'!$F$51,
    LEFT($A410,2)='DB2'!$G$52,'DB2'!$F$52,
    LEFT($A410,2)='DB2'!$H$52,'DB2'!$F$52,
    LEFT($A410,2)='DB2'!$I$52,'DB2'!$F$52,
    LEFT($A410,2)='DB2'!$J$44,'DB2'!$F$52,
    LEFT($A410,2)='DB2'!$G$53,'DB2'!$F$53,
    LEFT($A410,2)='DB2'!$G$54,'DB2'!$F$54,
    LEFT($A410,2)=LEFT('DB2'!$G$55,2),'DB2'!$F$55
)</f>
        <v>General Project</v>
      </c>
      <c r="C410" s="12" t="str">
        <f>VLOOKUP($A410,'DB1'!$C:$Q,12,0)</f>
        <v>Strategic Responses to the 2026 National Environmental Policy Agenda: A Mid-to-Long-Term Roadmap</v>
      </c>
      <c r="D410" s="11" t="str">
        <f>VLOOKUP($A410,'DB1'!$C:$Q,13,0)</f>
        <v>Shin, Kyunghee</v>
      </c>
      <c r="E410" s="12" t="str">
        <f>VLOOKUP($A410,'DB1'!$C:$Q,14,0)</f>
        <v>Sustainable Development</v>
      </c>
      <c r="F410" s="12">
        <f>VLOOKUP($A410,'DB1'!$C:$Q,15,0)</f>
        <v>0</v>
      </c>
      <c r="G410" s="13">
        <f>VLOOKUP($A410,'DB1'!$C:$Q,9,0)</f>
        <v>46113</v>
      </c>
      <c r="H410" s="13">
        <f>VLOOKUP($A410,'DB1'!$C:$Q,10,0)</f>
        <v>46477</v>
      </c>
    </row>
    <row r="411" spans="1:8" ht="33">
      <c r="A411" s="29" t="s">
        <v>2481</v>
      </c>
      <c r="B411" s="12" t="str" cm="1">
        <f t="array" ref="B411">_xlfn.IFS(
    LEFT($A411,2)='DB2'!$G$56,'DB2'!$F$56,
    LEFT($A411,2)='DB2'!$G$51,'DB2'!$F$51,
    LEFT($A411,2)='DB2'!$G$52,'DB2'!$F$52,
    LEFT($A411,2)='DB2'!$H$52,'DB2'!$F$52,
    LEFT($A411,2)='DB2'!$I$52,'DB2'!$F$52,
    LEFT($A411,2)='DB2'!$J$44,'DB2'!$F$52,
    LEFT($A411,2)='DB2'!$G$53,'DB2'!$F$53,
    LEFT($A411,2)='DB2'!$G$54,'DB2'!$F$54,
    LEFT($A411,2)=LEFT('DB2'!$G$55,2),'DB2'!$F$55
)</f>
        <v>General Project</v>
      </c>
      <c r="C411" s="12" t="str">
        <f>VLOOKUP($A411,'DB1'!$C:$Q,12,0)</f>
        <v>Climate and Environmental Cooperation Strategies for Northeast Asia</v>
      </c>
      <c r="D411" s="11" t="str">
        <f>VLOOKUP($A411,'DB1'!$C:$Q,13,0)</f>
        <v>Kang, Taek Goo</v>
      </c>
      <c r="E411" s="12" t="str">
        <f>VLOOKUP($A411,'DB1'!$C:$Q,14,0)</f>
        <v>International Environmental Collaboration</v>
      </c>
      <c r="F411" s="12">
        <f>VLOOKUP($A411,'DB1'!$C:$Q,15,0)</f>
        <v>0</v>
      </c>
      <c r="G411" s="13">
        <f>VLOOKUP($A411,'DB1'!$C:$Q,9,0)</f>
        <v>46113</v>
      </c>
      <c r="H411" s="13">
        <f>VLOOKUP($A411,'DB1'!$C:$Q,10,0)</f>
        <v>46477</v>
      </c>
    </row>
    <row r="412" spans="1:8" ht="33">
      <c r="A412" s="29" t="s">
        <v>2483</v>
      </c>
      <c r="B412" s="12" t="str" cm="1">
        <f t="array" ref="B412">_xlfn.IFS(
    LEFT($A412,2)='DB2'!$G$56,'DB2'!$F$56,
    LEFT($A412,2)='DB2'!$G$51,'DB2'!$F$51,
    LEFT($A412,2)='DB2'!$G$52,'DB2'!$F$52,
    LEFT($A412,2)='DB2'!$H$52,'DB2'!$F$52,
    LEFT($A412,2)='DB2'!$I$52,'DB2'!$F$52,
    LEFT($A412,2)='DB2'!$J$44,'DB2'!$F$52,
    LEFT($A412,2)='DB2'!$G$53,'DB2'!$F$53,
    LEFT($A412,2)='DB2'!$G$54,'DB2'!$F$54,
    LEFT($A412,2)=LEFT('DB2'!$G$55,2),'DB2'!$F$55
)</f>
        <v>General Project</v>
      </c>
      <c r="C412" s="12" t="str">
        <f>VLOOKUP($A412,'DB1'!$C:$Q,12,0)</f>
        <v>Regional Development Strategies Driven by Renewable Energy Expansion</v>
      </c>
      <c r="D412" s="11" t="str">
        <f>VLOOKUP($A412,'DB1'!$C:$Q,13,0)</f>
        <v>Kim, Dokyun</v>
      </c>
      <c r="E412" s="12" t="str">
        <f>VLOOKUP($A412,'DB1'!$C:$Q,14,0)</f>
        <v>Carbon Neutrality and Energy</v>
      </c>
      <c r="F412" s="12" t="str">
        <f>VLOOKUP($A412,'DB1'!$C:$Q,15,0)</f>
        <v>Land and Urban Environment</v>
      </c>
      <c r="G412" s="13">
        <f>VLOOKUP($A412,'DB1'!$C:$Q,9,0)</f>
        <v>46113</v>
      </c>
      <c r="H412" s="13">
        <f>VLOOKUP($A412,'DB1'!$C:$Q,10,0)</f>
        <v>46477</v>
      </c>
    </row>
    <row r="413" spans="1:8" ht="33">
      <c r="A413" s="29" t="s">
        <v>2484</v>
      </c>
      <c r="B413" s="12" t="str" cm="1">
        <f t="array" ref="B413">_xlfn.IFS(
    LEFT($A413,2)='DB2'!$G$56,'DB2'!$F$56,
    LEFT($A413,2)='DB2'!$G$51,'DB2'!$F$51,
    LEFT($A413,2)='DB2'!$G$52,'DB2'!$F$52,
    LEFT($A413,2)='DB2'!$H$52,'DB2'!$F$52,
    LEFT($A413,2)='DB2'!$I$52,'DB2'!$F$52,
    LEFT($A413,2)='DB2'!$J$44,'DB2'!$F$52,
    LEFT($A413,2)='DB2'!$G$53,'DB2'!$F$53,
    LEFT($A413,2)='DB2'!$G$54,'DB2'!$F$54,
    LEFT($A413,2)=LEFT('DB2'!$G$55,2),'DB2'!$F$55
)</f>
        <v>General Project</v>
      </c>
      <c r="C413" s="12" t="str">
        <f>VLOOKUP($A413,'DB1'!$C:$Q,12,0)</f>
        <v>Feasibility of Introducing a Korean Biodiversity Net Gain Policy to Promote Compatibility between Biodiversity Conservation and Renewable Energy Development</v>
      </c>
      <c r="D413" s="11" t="str">
        <f>VLOOKUP($A413,'DB1'!$C:$Q,13,0)</f>
        <v>Lee, Who-Seung</v>
      </c>
      <c r="E413" s="12" t="str">
        <f>VLOOKUP($A413,'DB1'!$C:$Q,14,0)</f>
        <v>Ecology</v>
      </c>
      <c r="F413" s="12" t="str">
        <f>VLOOKUP($A413,'DB1'!$C:$Q,15,0)</f>
        <v>Carbon Neutrality and Energy</v>
      </c>
      <c r="G413" s="13">
        <f>VLOOKUP($A413,'DB1'!$C:$Q,9,0)</f>
        <v>46113</v>
      </c>
      <c r="H413" s="13">
        <f>VLOOKUP($A413,'DB1'!$C:$Q,10,0)</f>
        <v>46477</v>
      </c>
    </row>
    <row r="414" spans="1:8" ht="33">
      <c r="A414" s="29" t="s">
        <v>2485</v>
      </c>
      <c r="B414" s="12" t="str" cm="1">
        <f t="array" ref="B414">_xlfn.IFS(
    LEFT($A414,2)='DB2'!$G$56,'DB2'!$F$56,
    LEFT($A414,2)='DB2'!$G$51,'DB2'!$F$51,
    LEFT($A414,2)='DB2'!$G$52,'DB2'!$F$52,
    LEFT($A414,2)='DB2'!$H$52,'DB2'!$F$52,
    LEFT($A414,2)='DB2'!$I$52,'DB2'!$F$52,
    LEFT($A414,2)='DB2'!$J$44,'DB2'!$F$52,
    LEFT($A414,2)='DB2'!$G$53,'DB2'!$F$53,
    LEFT($A414,2)='DB2'!$G$54,'DB2'!$F$54,
    LEFT($A414,2)=LEFT('DB2'!$G$55,2),'DB2'!$F$55
)</f>
        <v>General Project</v>
      </c>
      <c r="C414" s="12" t="str">
        <f>VLOOKUP($A414,'DB1'!$C:$Q,12,0)</f>
        <v>Advancing Environmental Impact Assessment Follow-Up Management Using Drone-Based Remote Sensing</v>
      </c>
      <c r="D414" s="11" t="str">
        <f>VLOOKUP($A414,'DB1'!$C:$Q,13,0)</f>
        <v xml:space="preserve">Rhee, Youngjoon </v>
      </c>
      <c r="E414" s="12" t="str">
        <f>VLOOKUP($A414,'DB1'!$C:$Q,14,0)</f>
        <v>Environmental Assessment</v>
      </c>
      <c r="F414" s="12" t="str">
        <f>VLOOKUP($A414,'DB1'!$C:$Q,15,0)</f>
        <v>AI and Environmental Informatics</v>
      </c>
      <c r="G414" s="13">
        <f>VLOOKUP($A414,'DB1'!$C:$Q,9,0)</f>
        <v>46113</v>
      </c>
      <c r="H414" s="13">
        <f>VLOOKUP($A414,'DB1'!$C:$Q,10,0)</f>
        <v>46477</v>
      </c>
    </row>
    <row r="415" spans="1:8" ht="33">
      <c r="A415" s="29" t="s">
        <v>2487</v>
      </c>
      <c r="B415" s="12" t="str" cm="1">
        <f t="array" ref="B415">_xlfn.IFS(
    LEFT($A415,2)='DB2'!$G$56,'DB2'!$F$56,
    LEFT($A415,2)='DB2'!$G$51,'DB2'!$F$51,
    LEFT($A415,2)='DB2'!$G$52,'DB2'!$F$52,
    LEFT($A415,2)='DB2'!$H$52,'DB2'!$F$52,
    LEFT($A415,2)='DB2'!$I$52,'DB2'!$F$52,
    LEFT($A415,2)='DB2'!$J$44,'DB2'!$F$52,
    LEFT($A415,2)='DB2'!$G$53,'DB2'!$F$53,
    LEFT($A415,2)='DB2'!$G$54,'DB2'!$F$54,
    LEFT($A415,2)=LEFT('DB2'!$G$55,2),'DB2'!$F$55
)</f>
        <v>Policy Study</v>
      </c>
      <c r="C415" s="12" t="str">
        <f>VLOOKUP($A415,'DB1'!$C:$Q,12,0)</f>
        <v>Establishing a Validation Center for Alternative Methods to Animal Testing in Chemical Safety Assessment</v>
      </c>
      <c r="D415" s="11" t="str">
        <f>VLOOKUP($A415,'DB1'!$C:$Q,13,0)</f>
        <v xml:space="preserve">Jung, Dawoon </v>
      </c>
      <c r="E415" s="12" t="str">
        <f>VLOOKUP($A415,'DB1'!$C:$Q,14,0)</f>
        <v>Environmental Health</v>
      </c>
      <c r="F415" s="12">
        <f>VLOOKUP($A415,'DB1'!$C:$Q,15,0)</f>
        <v>0</v>
      </c>
      <c r="G415" s="13">
        <f>VLOOKUP($A415,'DB1'!$C:$Q,9,0)</f>
        <v>46113</v>
      </c>
      <c r="H415" s="13">
        <f>VLOOKUP($A415,'DB1'!$C:$Q,10,0)</f>
        <v>46295</v>
      </c>
    </row>
    <row r="416" spans="1:8" ht="33">
      <c r="A416" s="29" t="s">
        <v>2489</v>
      </c>
      <c r="B416" s="12" t="str" cm="1">
        <f t="array" ref="B416">_xlfn.IFS(
    LEFT($A416,2)='DB2'!$G$56,'DB2'!$F$56,
    LEFT($A416,2)='DB2'!$G$51,'DB2'!$F$51,
    LEFT($A416,2)='DB2'!$G$52,'DB2'!$F$52,
    LEFT($A416,2)='DB2'!$H$52,'DB2'!$F$52,
    LEFT($A416,2)='DB2'!$I$52,'DB2'!$F$52,
    LEFT($A416,2)='DB2'!$J$44,'DB2'!$F$52,
    LEFT($A416,2)='DB2'!$G$53,'DB2'!$F$53,
    LEFT($A416,2)='DB2'!$G$54,'DB2'!$F$54,
    LEFT($A416,2)=LEFT('DB2'!$G$55,2),'DB2'!$F$55
)</f>
        <v>Policy Study</v>
      </c>
      <c r="C416" s="12" t="str">
        <f>VLOOKUP($A416,'DB1'!$C:$Q,12,0)</f>
        <v>Strategies for Aligning National Water Management Policies to Promote the Domestic Water Industry</v>
      </c>
      <c r="D416" s="11" t="str">
        <f>VLOOKUP($A416,'DB1'!$C:$Q,13,0)</f>
        <v>Ahn, Jongho</v>
      </c>
      <c r="E416" s="12" t="str">
        <f>VLOOKUP($A416,'DB1'!$C:$Q,14,0)</f>
        <v>Water Management</v>
      </c>
      <c r="F416" s="12" t="str">
        <f>VLOOKUP($A416,'DB1'!$C:$Q,15,0)</f>
        <v>Environmental Economics</v>
      </c>
      <c r="G416" s="13">
        <f>VLOOKUP($A416,'DB1'!$C:$Q,9,0)</f>
        <v>46125</v>
      </c>
      <c r="H416" s="13">
        <f>VLOOKUP($A416,'DB1'!$C:$Q,10,0)</f>
        <v>46307</v>
      </c>
    </row>
    <row r="417" spans="1:8" ht="33">
      <c r="A417" s="29" t="s">
        <v>2491</v>
      </c>
      <c r="B417" s="12" t="str" cm="1">
        <f t="array" ref="B417">_xlfn.IFS(
    LEFT($A417,2)='DB2'!$G$56,'DB2'!$F$56,
    LEFT($A417,2)='DB2'!$G$51,'DB2'!$F$51,
    LEFT($A417,2)='DB2'!$G$52,'DB2'!$F$52,
    LEFT($A417,2)='DB2'!$H$52,'DB2'!$F$52,
    LEFT($A417,2)='DB2'!$I$52,'DB2'!$F$52,
    LEFT($A417,2)='DB2'!$J$44,'DB2'!$F$52,
    LEFT($A417,2)='DB2'!$G$53,'DB2'!$F$53,
    LEFT($A417,2)='DB2'!$G$54,'DB2'!$F$54,
    LEFT($A417,2)=LEFT('DB2'!$G$55,2),'DB2'!$F$55
)</f>
        <v>Policy Study</v>
      </c>
      <c r="C417" s="12" t="str">
        <f>VLOOKUP($A417,'DB1'!$C:$Q,12,0)</f>
        <v>Legal and Institutional Frameworks for the Sustainable Expansion of AI Data Centers: An Integrated Water–Energy Management Perspective</v>
      </c>
      <c r="D417" s="11" t="str">
        <f>VLOOKUP($A417,'DB1'!$C:$Q,13,0)</f>
        <v>Han, Haejin</v>
      </c>
      <c r="E417" s="12" t="str">
        <f>VLOOKUP($A417,'DB1'!$C:$Q,14,0)</f>
        <v>AI and Environmental Informatics</v>
      </c>
      <c r="F417" s="12" t="str">
        <f>VLOOKUP($A417,'DB1'!$C:$Q,15,0)</f>
        <v>Carbon Neutrality and Energy</v>
      </c>
      <c r="G417" s="13">
        <f>VLOOKUP($A417,'DB1'!$C:$Q,9,0)</f>
        <v>46154</v>
      </c>
      <c r="H417" s="13">
        <f>VLOOKUP($A417,'DB1'!$C:$Q,10,0)</f>
        <v>46246</v>
      </c>
    </row>
  </sheetData>
  <mergeCells count="1">
    <mergeCell ref="B2:H2"/>
  </mergeCells>
  <phoneticPr fontId="2" type="noConversion"/>
  <conditionalFormatting sqref="B1:H5 C144:H171 C6:H142 B6:B368 B369:H1048576">
    <cfRule type="containsText" dxfId="66" priority="56" operator="containsText" text="#">
      <formula>NOT(ISERROR(SEARCH("#",B1)))</formula>
    </cfRule>
  </conditionalFormatting>
  <conditionalFormatting sqref="A418:A1048576 A1:A4">
    <cfRule type="duplicateValues" dxfId="65" priority="38"/>
  </conditionalFormatting>
  <conditionalFormatting sqref="C143:H143">
    <cfRule type="containsText" dxfId="64" priority="35" operator="containsText" text="#">
      <formula>NOT(ISERROR(SEARCH("#",C143)))</formula>
    </cfRule>
  </conditionalFormatting>
  <conditionalFormatting sqref="C172:H368">
    <cfRule type="containsText" dxfId="63" priority="26" operator="containsText" text="#">
      <formula>NOT(ISERROR(SEARCH("#",C172)))</formula>
    </cfRule>
  </conditionalFormatting>
  <conditionalFormatting sqref="A172:A253">
    <cfRule type="duplicateValues" dxfId="62" priority="21"/>
    <cfRule type="duplicateValues" dxfId="61" priority="22"/>
  </conditionalFormatting>
  <conditionalFormatting sqref="A244:A253">
    <cfRule type="duplicateValues" dxfId="60" priority="23"/>
  </conditionalFormatting>
  <conditionalFormatting sqref="A254:A275">
    <cfRule type="duplicateValues" dxfId="59" priority="18"/>
    <cfRule type="duplicateValues" dxfId="58" priority="19"/>
  </conditionalFormatting>
  <conditionalFormatting sqref="A254:A266">
    <cfRule type="duplicateValues" dxfId="57" priority="20"/>
  </conditionalFormatting>
  <conditionalFormatting sqref="A276:A303">
    <cfRule type="duplicateValues" dxfId="56" priority="16"/>
    <cfRule type="duplicateValues" dxfId="55" priority="17"/>
  </conditionalFormatting>
  <conditionalFormatting sqref="A304:A316">
    <cfRule type="duplicateValues" dxfId="54" priority="14"/>
    <cfRule type="duplicateValues" dxfId="53" priority="15"/>
  </conditionalFormatting>
  <conditionalFormatting sqref="A317:A334">
    <cfRule type="duplicateValues" dxfId="52" priority="12"/>
    <cfRule type="duplicateValues" dxfId="51" priority="13"/>
  </conditionalFormatting>
  <conditionalFormatting sqref="A335:A355">
    <cfRule type="duplicateValues" dxfId="50" priority="10"/>
    <cfRule type="duplicateValues" dxfId="49" priority="11"/>
  </conditionalFormatting>
  <conditionalFormatting sqref="A356:A368">
    <cfRule type="duplicateValues" dxfId="48" priority="8"/>
    <cfRule type="duplicateValues" dxfId="47" priority="9"/>
  </conditionalFormatting>
  <conditionalFormatting sqref="A5:A171">
    <cfRule type="duplicateValues" dxfId="46" priority="60"/>
    <cfRule type="duplicateValues" dxfId="45" priority="61"/>
  </conditionalFormatting>
  <conditionalFormatting sqref="A369:A417">
    <cfRule type="duplicateValues" dxfId="2" priority="68"/>
    <cfRule type="duplicateValues" dxfId="1" priority="69"/>
  </conditionalFormatting>
  <conditionalFormatting sqref="A369:A417">
    <cfRule type="duplicateValues" dxfId="0" priority="7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414"/>
  <sheetViews>
    <sheetView topLeftCell="A175" zoomScaleNormal="100" workbookViewId="0">
      <pane xSplit="8" topLeftCell="I1" activePane="topRight" state="frozen"/>
      <selection pane="topRight" activeCell="D188" sqref="D188"/>
    </sheetView>
  </sheetViews>
  <sheetFormatPr defaultRowHeight="16.5"/>
  <cols>
    <col min="1" max="1" width="5" style="5" customWidth="1"/>
    <col min="2" max="2" width="12.5" style="5" customWidth="1"/>
    <col min="3" max="3" width="15" style="24" customWidth="1"/>
    <col min="4" max="4" width="87.125" style="24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5" customWidth="1"/>
    <col min="14" max="14" width="125.5" style="33" customWidth="1"/>
    <col min="15" max="17" width="20.625" style="27" customWidth="1"/>
    <col min="18" max="18" width="29" style="27" bestFit="1" customWidth="1"/>
    <col min="19" max="19" width="38.375" style="27" bestFit="1" customWidth="1"/>
    <col min="20" max="16384" width="9" style="5"/>
  </cols>
  <sheetData>
    <row r="1" spans="1:19" ht="18" customHeight="1">
      <c r="A1" s="19" t="s">
        <v>7</v>
      </c>
      <c r="B1" s="19" t="s">
        <v>8</v>
      </c>
      <c r="C1" s="19" t="s">
        <v>9</v>
      </c>
      <c r="D1" s="36" t="s">
        <v>10</v>
      </c>
      <c r="E1" s="14" t="s">
        <v>11</v>
      </c>
      <c r="F1" s="14" t="s">
        <v>12</v>
      </c>
      <c r="G1" s="19" t="s">
        <v>13</v>
      </c>
      <c r="H1" s="14" t="s">
        <v>14</v>
      </c>
      <c r="I1" s="19" t="s">
        <v>15</v>
      </c>
      <c r="J1" s="19" t="s">
        <v>16</v>
      </c>
      <c r="K1" s="19" t="s">
        <v>17</v>
      </c>
      <c r="L1" s="19" t="s">
        <v>18</v>
      </c>
      <c r="M1" s="14" t="s">
        <v>19</v>
      </c>
      <c r="N1" s="36" t="s">
        <v>1015</v>
      </c>
      <c r="O1" s="19" t="s">
        <v>2</v>
      </c>
      <c r="P1" s="19" t="s">
        <v>3</v>
      </c>
      <c r="Q1" s="19" t="s">
        <v>4</v>
      </c>
      <c r="R1" s="19" t="s">
        <v>1611</v>
      </c>
      <c r="S1" s="19" t="s">
        <v>1612</v>
      </c>
    </row>
    <row r="2" spans="1:19" ht="18" customHeight="1">
      <c r="A2" s="15" t="s">
        <v>20</v>
      </c>
      <c r="B2" s="15" t="s">
        <v>21</v>
      </c>
      <c r="C2" s="15" t="s">
        <v>22</v>
      </c>
      <c r="D2" s="16" t="s">
        <v>23</v>
      </c>
      <c r="E2" s="16"/>
      <c r="F2" s="16" t="s">
        <v>24</v>
      </c>
      <c r="G2" s="15" t="s">
        <v>25</v>
      </c>
      <c r="H2" s="16" t="s">
        <v>26</v>
      </c>
      <c r="I2" s="16" t="s">
        <v>27</v>
      </c>
      <c r="J2" s="17">
        <v>174545450</v>
      </c>
      <c r="K2" s="18">
        <v>45054</v>
      </c>
      <c r="L2" s="18">
        <v>45713</v>
      </c>
      <c r="M2" s="16" t="s">
        <v>28</v>
      </c>
      <c r="N2" s="37" t="s">
        <v>1767</v>
      </c>
      <c r="O2" s="32" t="str">
        <f>IFERROR(VLOOKUP($G2,[1]DB2!$A:$B,2,0),"공동과책 확인")</f>
        <v>Lee, Soojae</v>
      </c>
      <c r="P2" s="32" t="s">
        <v>1614</v>
      </c>
      <c r="Q2" s="32" t="s">
        <v>2256</v>
      </c>
      <c r="R2" s="32" t="str">
        <f>IFERROR(VLOOKUP($I2,[1]DB2!$F$2:$I$58,2,0),"옛날 부서명 확인")</f>
        <v xml:space="preserve">Natural Environment Division </v>
      </c>
      <c r="S2" s="32" t="str">
        <f>IFERROR(VLOOKUP($I2,[1]DB2!$F$2:$I$58,4,0),"옛날 부서명 확인")</f>
        <v xml:space="preserve">Land and Environment Research Group </v>
      </c>
    </row>
    <row r="3" spans="1:19" ht="18" customHeight="1">
      <c r="A3" s="15" t="s">
        <v>29</v>
      </c>
      <c r="B3" s="15" t="s">
        <v>21</v>
      </c>
      <c r="C3" s="15" t="s">
        <v>30</v>
      </c>
      <c r="D3" s="16" t="s">
        <v>31</v>
      </c>
      <c r="E3" s="16"/>
      <c r="F3" s="16" t="s">
        <v>24</v>
      </c>
      <c r="G3" s="15" t="s">
        <v>25</v>
      </c>
      <c r="H3" s="16" t="s">
        <v>32</v>
      </c>
      <c r="I3" s="16" t="s">
        <v>27</v>
      </c>
      <c r="J3" s="17">
        <v>449090900</v>
      </c>
      <c r="K3" s="18">
        <v>45056</v>
      </c>
      <c r="L3" s="18">
        <v>46275</v>
      </c>
      <c r="M3" s="16" t="s">
        <v>33</v>
      </c>
      <c r="N3" s="37" t="s">
        <v>1768</v>
      </c>
      <c r="O3" s="32" t="str">
        <f>IFERROR(VLOOKUP($G3,[1]DB2!$A:$B,2,0),"공동과책 확인")</f>
        <v>Lee, Soojae</v>
      </c>
      <c r="P3" s="32" t="s">
        <v>1614</v>
      </c>
      <c r="Q3" s="32" t="s">
        <v>2256</v>
      </c>
      <c r="R3" s="32" t="str">
        <f>IFERROR(VLOOKUP($I3,[1]DB2!$F$2:$I$58,2,0),"옛날 부서명 확인")</f>
        <v xml:space="preserve">Natural Environment Division </v>
      </c>
      <c r="S3" s="32" t="str">
        <f>IFERROR(VLOOKUP($I3,[1]DB2!$F$2:$I$58,4,0),"옛날 부서명 확인")</f>
        <v xml:space="preserve">Land and Environment Research Group </v>
      </c>
    </row>
    <row r="4" spans="1:19" ht="18" customHeight="1">
      <c r="A4" s="15" t="s">
        <v>34</v>
      </c>
      <c r="B4" s="15" t="s">
        <v>21</v>
      </c>
      <c r="C4" s="15" t="s">
        <v>35</v>
      </c>
      <c r="D4" s="16" t="s">
        <v>2333</v>
      </c>
      <c r="E4" s="16"/>
      <c r="F4" s="16" t="s">
        <v>36</v>
      </c>
      <c r="G4" s="15" t="s">
        <v>37</v>
      </c>
      <c r="H4" s="16" t="s">
        <v>38</v>
      </c>
      <c r="I4" s="16" t="s">
        <v>39</v>
      </c>
      <c r="J4" s="17">
        <v>621000000</v>
      </c>
      <c r="K4" s="18">
        <v>45287</v>
      </c>
      <c r="L4" s="18">
        <v>45961</v>
      </c>
      <c r="M4" s="16" t="s">
        <v>40</v>
      </c>
      <c r="N4" s="37" t="s">
        <v>2311</v>
      </c>
      <c r="O4" s="32" t="str">
        <f>IFERROR(VLOOKUP($G4,[1]DB2!$A:$B,2,0),"공동과책 확인")</f>
        <v>Cho, Kongjang</v>
      </c>
      <c r="P4" s="32" t="s">
        <v>1622</v>
      </c>
      <c r="Q4" s="32" t="s">
        <v>2255</v>
      </c>
      <c r="R4" s="32" t="str">
        <f>IFERROR(VLOOKUP($I4,[1]DB2!$F$2:$I$58,2,0),"옛날 부서명 확인")</f>
        <v xml:space="preserve">Living Environment and Society Division </v>
      </c>
      <c r="S4" s="32" t="str">
        <f>IFERROR(VLOOKUP($I4,[1]DB2!$F$2:$I$58,4,0),"옛날 부서명 확인")</f>
        <v xml:space="preserve">Sustainable Development Research Group  </v>
      </c>
    </row>
    <row r="5" spans="1:19" ht="18" customHeight="1">
      <c r="A5" s="15" t="s">
        <v>41</v>
      </c>
      <c r="B5" s="15" t="s">
        <v>21</v>
      </c>
      <c r="C5" s="15" t="s">
        <v>42</v>
      </c>
      <c r="D5" s="16" t="s">
        <v>43</v>
      </c>
      <c r="E5" s="16"/>
      <c r="F5" s="16" t="s">
        <v>44</v>
      </c>
      <c r="G5" s="15" t="s">
        <v>45</v>
      </c>
      <c r="H5" s="16" t="s">
        <v>46</v>
      </c>
      <c r="I5" s="16" t="s">
        <v>209</v>
      </c>
      <c r="J5" s="17">
        <v>136170000</v>
      </c>
      <c r="K5" s="18">
        <v>45309</v>
      </c>
      <c r="L5" s="18">
        <v>45673</v>
      </c>
      <c r="M5" s="16" t="s">
        <v>47</v>
      </c>
      <c r="N5" s="37" t="s">
        <v>1623</v>
      </c>
      <c r="O5" s="32" t="str">
        <f>IFERROR(VLOOKUP($G5,[1]DB2!$A:$B,2,0),"공동과책 확인")</f>
        <v>Son, Seungwoo</v>
      </c>
      <c r="P5" s="32" t="s">
        <v>2256</v>
      </c>
      <c r="Q5" s="32" t="s">
        <v>1614</v>
      </c>
      <c r="R5" s="32" t="str">
        <f>IFERROR(VLOOKUP($I5,[1]DB2!$F$2:$I$58,2,0),"옛날 부서명 확인")</f>
        <v>Spatial Planning and Management Division</v>
      </c>
      <c r="S5" s="32" t="str">
        <f>IFERROR(VLOOKUP($I5,[1]DB2!$F$2:$I$58,4,0),"옛날 부서명 확인")</f>
        <v xml:space="preserve">Land and Environment Research Group </v>
      </c>
    </row>
    <row r="6" spans="1:19" ht="18" customHeight="1">
      <c r="A6" s="15" t="s">
        <v>48</v>
      </c>
      <c r="B6" s="15" t="s">
        <v>21</v>
      </c>
      <c r="C6" s="15" t="s">
        <v>68</v>
      </c>
      <c r="D6" s="16" t="s">
        <v>69</v>
      </c>
      <c r="E6" s="16"/>
      <c r="F6" s="16" t="s">
        <v>70</v>
      </c>
      <c r="G6" s="15" t="s">
        <v>71</v>
      </c>
      <c r="H6" s="16" t="s">
        <v>72</v>
      </c>
      <c r="I6" s="16" t="s">
        <v>73</v>
      </c>
      <c r="J6" s="17">
        <v>458068280</v>
      </c>
      <c r="K6" s="18">
        <v>45349</v>
      </c>
      <c r="L6" s="18">
        <v>46387</v>
      </c>
      <c r="M6" s="16" t="s">
        <v>74</v>
      </c>
      <c r="N6" s="37" t="s">
        <v>1807</v>
      </c>
      <c r="O6" s="32" t="str">
        <f>IFERROR(VLOOKUP($G6,[1]DB2!$A:$B,2,0),"공동과책 확인")</f>
        <v>Cho, Hanna</v>
      </c>
      <c r="P6" s="32" t="s">
        <v>1619</v>
      </c>
      <c r="Q6" s="32" t="s">
        <v>2258</v>
      </c>
      <c r="R6" s="32" t="str">
        <f>IFERROR(VLOOKUP($I6,[1]DB2!$F$2:$I$58,2,0),"옛날 부서명 확인")</f>
        <v xml:space="preserve">Climate Adaptation Cooperation Division </v>
      </c>
      <c r="S6" s="32" t="str">
        <f>IFERROR(VLOOKUP($I6,[1]DB2!$F$2:$I$58,4,0),"옛날 부서명 확인")</f>
        <v xml:space="preserve">Korea Adaptation Center for Climate Change </v>
      </c>
    </row>
    <row r="7" spans="1:19" ht="18" customHeight="1">
      <c r="A7" s="15" t="s">
        <v>53</v>
      </c>
      <c r="B7" s="15" t="s">
        <v>21</v>
      </c>
      <c r="C7" s="15" t="s">
        <v>54</v>
      </c>
      <c r="D7" s="16" t="s">
        <v>55</v>
      </c>
      <c r="E7" s="16"/>
      <c r="F7" s="16" t="s">
        <v>56</v>
      </c>
      <c r="G7" s="15" t="s">
        <v>57</v>
      </c>
      <c r="H7" s="16" t="s">
        <v>58</v>
      </c>
      <c r="I7" s="16" t="s">
        <v>409</v>
      </c>
      <c r="J7" s="17">
        <v>107955000</v>
      </c>
      <c r="K7" s="18">
        <v>45352</v>
      </c>
      <c r="L7" s="18">
        <v>45716</v>
      </c>
      <c r="M7" s="16" t="s">
        <v>59</v>
      </c>
      <c r="N7" s="37" t="s">
        <v>2320</v>
      </c>
      <c r="O7" s="32" t="str">
        <f>IFERROR(VLOOKUP($G7,[1]DB2!$A:$B,2,0),"공동과책 확인")</f>
        <v>Choi, Yuyoung</v>
      </c>
      <c r="P7" s="32" t="s">
        <v>2257</v>
      </c>
      <c r="Q7" s="32" t="s">
        <v>1614</v>
      </c>
      <c r="R7" s="32" t="str">
        <f>IFERROR(VLOOKUP($I7,[1]DB2!$F$2:$I$58,2,0),"옛날 부서명 확인")</f>
        <v xml:space="preserve">Land Strategy Assessment Division </v>
      </c>
      <c r="S7" s="32" t="str">
        <f>IFERROR(VLOOKUP($I7,[1]DB2!$F$2:$I$58,4,0),"옛날 부서명 확인")</f>
        <v xml:space="preserve">Environmental Assessment Group </v>
      </c>
    </row>
    <row r="8" spans="1:19" ht="18" customHeight="1">
      <c r="A8" s="15" t="s">
        <v>60</v>
      </c>
      <c r="B8" s="15" t="s">
        <v>21</v>
      </c>
      <c r="C8" s="15" t="s">
        <v>61</v>
      </c>
      <c r="D8" s="16" t="s">
        <v>62</v>
      </c>
      <c r="E8" s="16"/>
      <c r="F8" s="16" t="s">
        <v>63</v>
      </c>
      <c r="G8" s="15" t="s">
        <v>64</v>
      </c>
      <c r="H8" s="16" t="s">
        <v>65</v>
      </c>
      <c r="I8" s="16" t="s">
        <v>199</v>
      </c>
      <c r="J8" s="17">
        <v>80415000</v>
      </c>
      <c r="K8" s="18">
        <v>45352</v>
      </c>
      <c r="L8" s="18">
        <v>45716</v>
      </c>
      <c r="M8" s="16" t="s">
        <v>59</v>
      </c>
      <c r="N8" s="37" t="s">
        <v>1624</v>
      </c>
      <c r="O8" s="32" t="str">
        <f>IFERROR(VLOOKUP($G8,[1]DB2!$A:$B,2,0),"공동과책 확인")</f>
        <v xml:space="preserve">Jung, Kichul </v>
      </c>
      <c r="P8" s="32" t="s">
        <v>1617</v>
      </c>
      <c r="Q8" s="32" t="s">
        <v>1621</v>
      </c>
      <c r="R8" s="32" t="str">
        <f>IFERROR(VLOOKUP($I8,[1]DB2!$F$2:$I$58,2,0),"옛날 부서명 확인")</f>
        <v xml:space="preserve">Water Management Division </v>
      </c>
      <c r="S8" s="32" t="str">
        <f>IFERROR(VLOOKUP($I8,[1]DB2!$F$2:$I$58,4,0),"옛날 부서명 확인")</f>
        <v xml:space="preserve">Land and Environment Research Group </v>
      </c>
    </row>
    <row r="9" spans="1:19" ht="18" customHeight="1">
      <c r="A9" s="15" t="s">
        <v>67</v>
      </c>
      <c r="B9" s="15" t="s">
        <v>21</v>
      </c>
      <c r="C9" s="15" t="s">
        <v>76</v>
      </c>
      <c r="D9" s="16" t="s">
        <v>2334</v>
      </c>
      <c r="E9" s="16"/>
      <c r="F9" s="16" t="s">
        <v>44</v>
      </c>
      <c r="G9" s="15" t="s">
        <v>45</v>
      </c>
      <c r="H9" s="16" t="s">
        <v>46</v>
      </c>
      <c r="I9" s="16" t="s">
        <v>209</v>
      </c>
      <c r="J9" s="17">
        <v>180000000</v>
      </c>
      <c r="K9" s="18">
        <v>45371</v>
      </c>
      <c r="L9" s="18">
        <v>45735</v>
      </c>
      <c r="M9" s="16" t="s">
        <v>47</v>
      </c>
      <c r="N9" s="37" t="s">
        <v>2509</v>
      </c>
      <c r="O9" s="32" t="str">
        <f>IFERROR(VLOOKUP($G9,[1]DB2!$A:$B,2,0),"공동과책 확인")</f>
        <v>Son, Seungwoo</v>
      </c>
      <c r="P9" s="32" t="s">
        <v>2256</v>
      </c>
      <c r="Q9" s="32" t="s">
        <v>1614</v>
      </c>
      <c r="R9" s="32" t="str">
        <f>IFERROR(VLOOKUP($I9,[1]DB2!$F$2:$I$58,2,0),"옛날 부서명 확인")</f>
        <v>Spatial Planning and Management Division</v>
      </c>
      <c r="S9" s="32" t="str">
        <f>IFERROR(VLOOKUP($I9,[1]DB2!$F$2:$I$58,4,0),"옛날 부서명 확인")</f>
        <v xml:space="preserve">Land and Environment Research Group </v>
      </c>
    </row>
    <row r="10" spans="1:19" ht="18" customHeight="1">
      <c r="A10" s="15" t="s">
        <v>75</v>
      </c>
      <c r="B10" s="15" t="s">
        <v>21</v>
      </c>
      <c r="C10" s="15" t="s">
        <v>78</v>
      </c>
      <c r="D10" s="16" t="s">
        <v>79</v>
      </c>
      <c r="E10" s="16"/>
      <c r="F10" s="16" t="s">
        <v>80</v>
      </c>
      <c r="G10" s="15" t="s">
        <v>81</v>
      </c>
      <c r="H10" s="16" t="s">
        <v>46</v>
      </c>
      <c r="I10" s="16" t="s">
        <v>209</v>
      </c>
      <c r="J10" s="17">
        <v>38863630</v>
      </c>
      <c r="K10" s="18">
        <v>45372</v>
      </c>
      <c r="L10" s="18">
        <v>45671</v>
      </c>
      <c r="M10" s="16" t="s">
        <v>47</v>
      </c>
      <c r="N10" s="37" t="s">
        <v>1625</v>
      </c>
      <c r="O10" s="32" t="str">
        <f>IFERROR(VLOOKUP($G10,[1]DB2!$A:$B,2,0),"공동과책 확인")</f>
        <v>Lee, MoungJin</v>
      </c>
      <c r="P10" s="32" t="s">
        <v>2257</v>
      </c>
      <c r="Q10" s="32" t="s">
        <v>2256</v>
      </c>
      <c r="R10" s="32" t="str">
        <f>IFERROR(VLOOKUP($I10,[1]DB2!$F$2:$I$58,2,0),"옛날 부서명 확인")</f>
        <v>Spatial Planning and Management Division</v>
      </c>
      <c r="S10" s="32" t="str">
        <f>IFERROR(VLOOKUP($I10,[1]DB2!$F$2:$I$58,4,0),"옛날 부서명 확인")</f>
        <v xml:space="preserve">Land and Environment Research Group </v>
      </c>
    </row>
    <row r="11" spans="1:19" ht="18" customHeight="1">
      <c r="A11" s="15" t="s">
        <v>77</v>
      </c>
      <c r="B11" s="15" t="s">
        <v>21</v>
      </c>
      <c r="C11" s="15" t="s">
        <v>83</v>
      </c>
      <c r="D11" s="16" t="s">
        <v>84</v>
      </c>
      <c r="E11" s="16"/>
      <c r="F11" s="16" t="s">
        <v>85</v>
      </c>
      <c r="G11" s="15" t="s">
        <v>86</v>
      </c>
      <c r="H11" s="16" t="s">
        <v>87</v>
      </c>
      <c r="I11" s="16" t="s">
        <v>395</v>
      </c>
      <c r="J11" s="17">
        <v>170000000</v>
      </c>
      <c r="K11" s="18">
        <v>45380</v>
      </c>
      <c r="L11" s="18">
        <v>45679</v>
      </c>
      <c r="M11" s="16" t="s">
        <v>88</v>
      </c>
      <c r="N11" s="37" t="s">
        <v>1626</v>
      </c>
      <c r="O11" s="32" t="str">
        <f>IFERROR(VLOOKUP($G11,[1]DB2!$A:$B,2,0),"공동과책 확인")</f>
        <v>Kim, Taeyun</v>
      </c>
      <c r="P11" s="32" t="s">
        <v>1618</v>
      </c>
      <c r="Q11" s="32" t="s">
        <v>2255</v>
      </c>
      <c r="R11" s="32" t="str">
        <f>IFERROR(VLOOKUP($I11,[1]DB2!$F$2:$I$58,2,0),"옛날 부서명 확인")</f>
        <v xml:space="preserve">Climate and Energy Assessment Division </v>
      </c>
      <c r="S11" s="32" t="str">
        <f>IFERROR(VLOOKUP($I11,[1]DB2!$F$2:$I$58,4,0),"옛날 부서명 확인")</f>
        <v xml:space="preserve">Environmental Assessment Group </v>
      </c>
    </row>
    <row r="12" spans="1:19" ht="18" customHeight="1">
      <c r="A12" s="15" t="s">
        <v>82</v>
      </c>
      <c r="B12" s="15" t="s">
        <v>21</v>
      </c>
      <c r="C12" s="15" t="s">
        <v>105</v>
      </c>
      <c r="D12" s="16" t="s">
        <v>2335</v>
      </c>
      <c r="E12" s="16"/>
      <c r="F12" s="16" t="s">
        <v>97</v>
      </c>
      <c r="G12" s="15" t="s">
        <v>98</v>
      </c>
      <c r="H12" s="16" t="s">
        <v>99</v>
      </c>
      <c r="I12" s="16" t="s">
        <v>333</v>
      </c>
      <c r="J12" s="17">
        <v>191545450</v>
      </c>
      <c r="K12" s="18">
        <v>45383</v>
      </c>
      <c r="L12" s="18">
        <v>45777</v>
      </c>
      <c r="M12" s="16" t="s">
        <v>106</v>
      </c>
      <c r="N12" s="37" t="s">
        <v>2304</v>
      </c>
      <c r="O12" s="32" t="str">
        <f>IFERROR(VLOOKUP($G12,[1]DB2!$A:$B,2,0),"공동과책 확인")</f>
        <v>Kang, Sungwon</v>
      </c>
      <c r="P12" s="32" t="s">
        <v>1615</v>
      </c>
      <c r="Q12" s="32" t="s">
        <v>1616</v>
      </c>
      <c r="R12" s="32" t="str">
        <f>IFERROR(VLOOKUP($I12,[1]DB2!$F$2:$I$58,2,0),"옛날 부서명 확인")</f>
        <v xml:space="preserve">Green Economy Division </v>
      </c>
      <c r="S12" s="32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5" t="s">
        <v>94</v>
      </c>
      <c r="B13" s="15" t="s">
        <v>836</v>
      </c>
      <c r="C13" s="15" t="s">
        <v>895</v>
      </c>
      <c r="D13" s="16" t="s">
        <v>1802</v>
      </c>
      <c r="E13" s="16"/>
      <c r="F13" s="16" t="s">
        <v>325</v>
      </c>
      <c r="G13" s="15" t="s">
        <v>326</v>
      </c>
      <c r="H13" s="16" t="s">
        <v>896</v>
      </c>
      <c r="I13" s="16" t="s">
        <v>328</v>
      </c>
      <c r="J13" s="17">
        <v>140000000</v>
      </c>
      <c r="K13" s="18">
        <v>45383</v>
      </c>
      <c r="L13" s="18">
        <v>45808</v>
      </c>
      <c r="M13" s="16"/>
      <c r="N13" s="37" t="s">
        <v>1749</v>
      </c>
      <c r="O13" s="32" t="str">
        <f>IFERROR(VLOOKUP($G13,[1]DB2!$A:$B,2,0),"공동과책 확인")</f>
        <v>Chang, Hoon</v>
      </c>
      <c r="P13" s="32" t="s">
        <v>1619</v>
      </c>
      <c r="Q13" s="32"/>
      <c r="R13" s="32" t="str">
        <f>IFERROR(VLOOKUP($I13,[1]DB2!$F$2:$I$58,2,0),"옛날 부서명 확인")</f>
        <v xml:space="preserve">Climate and Atmospheric Strategy Research Group  </v>
      </c>
      <c r="S13" s="32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5" t="s">
        <v>100</v>
      </c>
      <c r="B14" s="15" t="s">
        <v>836</v>
      </c>
      <c r="C14" s="15" t="s">
        <v>897</v>
      </c>
      <c r="D14" s="16" t="s">
        <v>898</v>
      </c>
      <c r="E14" s="16"/>
      <c r="F14" s="16" t="s">
        <v>695</v>
      </c>
      <c r="G14" s="15" t="s">
        <v>696</v>
      </c>
      <c r="H14" s="16" t="s">
        <v>899</v>
      </c>
      <c r="I14" s="16" t="s">
        <v>395</v>
      </c>
      <c r="J14" s="17">
        <v>140000000</v>
      </c>
      <c r="K14" s="18">
        <v>45383</v>
      </c>
      <c r="L14" s="18">
        <v>45747</v>
      </c>
      <c r="M14" s="16"/>
      <c r="N14" s="37" t="s">
        <v>2336</v>
      </c>
      <c r="O14" s="32" t="str">
        <f>IFERROR(VLOOKUP($G14,[1]DB2!$A:$B,2,0),"공동과책 확인")</f>
        <v>Kim, Yumi</v>
      </c>
      <c r="P14" s="32" t="s">
        <v>2257</v>
      </c>
      <c r="Q14" s="32" t="s">
        <v>1618</v>
      </c>
      <c r="R14" s="32" t="str">
        <f>IFERROR(VLOOKUP($I14,[1]DB2!$F$2:$I$58,2,0),"옛날 부서명 확인")</f>
        <v xml:space="preserve">Climate and Energy Assessment Division </v>
      </c>
      <c r="S14" s="32" t="str">
        <f>IFERROR(VLOOKUP($I14,[1]DB2!$F$2:$I$58,4,0),"옛날 부서명 확인")</f>
        <v xml:space="preserve">Environmental Assessment Group </v>
      </c>
    </row>
    <row r="15" spans="1:19" ht="18" customHeight="1">
      <c r="A15" s="15" t="s">
        <v>104</v>
      </c>
      <c r="B15" s="15" t="s">
        <v>836</v>
      </c>
      <c r="C15" s="15" t="s">
        <v>900</v>
      </c>
      <c r="D15" s="16" t="s">
        <v>2025</v>
      </c>
      <c r="E15" s="16"/>
      <c r="F15" s="16" t="s">
        <v>158</v>
      </c>
      <c r="G15" s="15" t="s">
        <v>159</v>
      </c>
      <c r="H15" s="16" t="s">
        <v>46</v>
      </c>
      <c r="I15" s="16" t="s">
        <v>594</v>
      </c>
      <c r="J15" s="17">
        <v>90000000</v>
      </c>
      <c r="K15" s="18">
        <v>45383</v>
      </c>
      <c r="L15" s="18">
        <v>45747</v>
      </c>
      <c r="M15" s="16"/>
      <c r="N15" s="37" t="s">
        <v>2235</v>
      </c>
      <c r="O15" s="32" t="str">
        <f>IFERROR(VLOOKUP($G15,[1]DB2!$A:$B,2,0),"공동과책 확인")</f>
        <v>Park, Chang Sug</v>
      </c>
      <c r="P15" s="32" t="s">
        <v>2255</v>
      </c>
      <c r="Q15" s="32" t="s">
        <v>2256</v>
      </c>
      <c r="R15" s="32" t="str">
        <f>IFERROR(VLOOKUP($I15,[1]DB2!$F$2:$I$58,2,0),"옛날 부서명 확인")</f>
        <v>Executive Office</v>
      </c>
      <c r="S15" s="32" t="str">
        <f>IFERROR(VLOOKUP($I15,[1]DB2!$F$2:$I$58,4,0),"옛날 부서명 확인")</f>
        <v>Executive Office</v>
      </c>
    </row>
    <row r="16" spans="1:19" ht="18" customHeight="1">
      <c r="A16" s="15" t="s">
        <v>107</v>
      </c>
      <c r="B16" s="15" t="s">
        <v>21</v>
      </c>
      <c r="C16" s="15" t="s">
        <v>49</v>
      </c>
      <c r="D16" s="16" t="s">
        <v>50</v>
      </c>
      <c r="E16" s="16"/>
      <c r="F16" s="16" t="s">
        <v>51</v>
      </c>
      <c r="G16" s="15" t="s">
        <v>52</v>
      </c>
      <c r="H16" s="16" t="s">
        <v>26</v>
      </c>
      <c r="I16" s="16" t="s">
        <v>27</v>
      </c>
      <c r="J16" s="17">
        <v>86363630</v>
      </c>
      <c r="K16" s="18">
        <v>45390</v>
      </c>
      <c r="L16" s="18">
        <v>45815</v>
      </c>
      <c r="M16" s="16" t="s">
        <v>47</v>
      </c>
      <c r="N16" s="37" t="s">
        <v>2337</v>
      </c>
      <c r="O16" s="32" t="str">
        <f>IFERROR(VLOOKUP($G16,[1]DB2!$A:$B,2,0),"공동과책 확인")</f>
        <v xml:space="preserve">Koo, Kyung Ah </v>
      </c>
      <c r="P16" s="32" t="s">
        <v>1615</v>
      </c>
      <c r="Q16" s="32" t="s">
        <v>1614</v>
      </c>
      <c r="R16" s="32" t="str">
        <f>IFERROR(VLOOKUP($I16,[1]DB2!$F$2:$I$58,2,0),"옛날 부서명 확인")</f>
        <v xml:space="preserve">Natural Environment Division </v>
      </c>
      <c r="S16" s="32" t="str">
        <f>IFERROR(VLOOKUP($I16,[1]DB2!$F$2:$I$58,4,0),"옛날 부서명 확인")</f>
        <v xml:space="preserve">Land and Environment Research Group </v>
      </c>
    </row>
    <row r="17" spans="1:19" ht="18" customHeight="1">
      <c r="A17" s="15" t="s">
        <v>112</v>
      </c>
      <c r="B17" s="15" t="s">
        <v>21</v>
      </c>
      <c r="C17" s="15" t="s">
        <v>89</v>
      </c>
      <c r="D17" s="16" t="s">
        <v>90</v>
      </c>
      <c r="E17" s="16"/>
      <c r="F17" s="16" t="s">
        <v>91</v>
      </c>
      <c r="G17" s="15" t="s">
        <v>92</v>
      </c>
      <c r="H17" s="16" t="s">
        <v>93</v>
      </c>
      <c r="I17" s="16" t="s">
        <v>199</v>
      </c>
      <c r="J17" s="17">
        <v>90000000</v>
      </c>
      <c r="K17" s="18">
        <v>45399</v>
      </c>
      <c r="L17" s="18">
        <v>45698</v>
      </c>
      <c r="M17" s="16" t="s">
        <v>47</v>
      </c>
      <c r="N17" s="37" t="s">
        <v>1627</v>
      </c>
      <c r="O17" s="32" t="str">
        <f>IFERROR(VLOOKUP($G17,[1]DB2!$A:$B,2,0),"공동과책 확인")</f>
        <v>Kim, Ikjae</v>
      </c>
      <c r="P17" s="32" t="s">
        <v>1617</v>
      </c>
      <c r="Q17" s="32" t="s">
        <v>2258</v>
      </c>
      <c r="R17" s="32" t="str">
        <f>IFERROR(VLOOKUP($I17,[1]DB2!$F$2:$I$58,2,0),"옛날 부서명 확인")</f>
        <v xml:space="preserve">Water Management Division </v>
      </c>
      <c r="S17" s="32" t="str">
        <f>IFERROR(VLOOKUP($I17,[1]DB2!$F$2:$I$58,4,0),"옛날 부서명 확인")</f>
        <v xml:space="preserve">Land and Environment Research Group </v>
      </c>
    </row>
    <row r="18" spans="1:19" ht="18" customHeight="1">
      <c r="A18" s="15" t="s">
        <v>118</v>
      </c>
      <c r="B18" s="15" t="s">
        <v>21</v>
      </c>
      <c r="C18" s="15" t="s">
        <v>95</v>
      </c>
      <c r="D18" s="16" t="s">
        <v>96</v>
      </c>
      <c r="E18" s="16"/>
      <c r="F18" s="16" t="s">
        <v>97</v>
      </c>
      <c r="G18" s="15" t="s">
        <v>98</v>
      </c>
      <c r="H18" s="16" t="s">
        <v>99</v>
      </c>
      <c r="I18" s="16" t="s">
        <v>333</v>
      </c>
      <c r="J18" s="17">
        <v>86363630</v>
      </c>
      <c r="K18" s="18">
        <v>45400</v>
      </c>
      <c r="L18" s="18">
        <v>45669</v>
      </c>
      <c r="M18" s="16" t="s">
        <v>47</v>
      </c>
      <c r="N18" s="37" t="s">
        <v>1628</v>
      </c>
      <c r="O18" s="32" t="str">
        <f>IFERROR(VLOOKUP($G18,[1]DB2!$A:$B,2,0),"공동과책 확인")</f>
        <v>Kang, Sungwon</v>
      </c>
      <c r="P18" s="32" t="s">
        <v>1621</v>
      </c>
      <c r="Q18" s="32"/>
      <c r="R18" s="32" t="str">
        <f>IFERROR(VLOOKUP($I18,[1]DB2!$F$2:$I$58,2,0),"옛날 부서명 확인")</f>
        <v xml:space="preserve">Green Economy Division </v>
      </c>
      <c r="S18" s="32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5" t="s">
        <v>126</v>
      </c>
      <c r="B19" s="15" t="s">
        <v>21</v>
      </c>
      <c r="C19" s="15" t="s">
        <v>101</v>
      </c>
      <c r="D19" s="16" t="s">
        <v>102</v>
      </c>
      <c r="E19" s="16"/>
      <c r="F19" s="16" t="s">
        <v>44</v>
      </c>
      <c r="G19" s="15" t="s">
        <v>45</v>
      </c>
      <c r="H19" s="16" t="s">
        <v>46</v>
      </c>
      <c r="I19" s="16" t="s">
        <v>209</v>
      </c>
      <c r="J19" s="17">
        <v>95950000</v>
      </c>
      <c r="K19" s="18">
        <v>45408</v>
      </c>
      <c r="L19" s="18">
        <v>45772</v>
      </c>
      <c r="M19" s="16" t="s">
        <v>103</v>
      </c>
      <c r="N19" s="37" t="s">
        <v>1629</v>
      </c>
      <c r="O19" s="32" t="str">
        <f>IFERROR(VLOOKUP($G19,[1]DB2!$A:$B,2,0),"공동과책 확인")</f>
        <v>Son, Seungwoo</v>
      </c>
      <c r="P19" s="32" t="s">
        <v>2256</v>
      </c>
      <c r="Q19" s="32" t="s">
        <v>1614</v>
      </c>
      <c r="R19" s="32" t="str">
        <f>IFERROR(VLOOKUP($I19,[1]DB2!$F$2:$I$58,2,0),"옛날 부서명 확인")</f>
        <v>Spatial Planning and Management Division</v>
      </c>
      <c r="S19" s="32" t="str">
        <f>IFERROR(VLOOKUP($I19,[1]DB2!$F$2:$I$58,4,0),"옛날 부서명 확인")</f>
        <v xml:space="preserve">Land and Environment Research Group </v>
      </c>
    </row>
    <row r="20" spans="1:19" ht="18" customHeight="1">
      <c r="A20" s="15" t="s">
        <v>132</v>
      </c>
      <c r="B20" s="15" t="s">
        <v>21</v>
      </c>
      <c r="C20" s="15" t="s">
        <v>108</v>
      </c>
      <c r="D20" s="16" t="s">
        <v>109</v>
      </c>
      <c r="E20" s="16"/>
      <c r="F20" s="16" t="s">
        <v>110</v>
      </c>
      <c r="G20" s="15" t="s">
        <v>111</v>
      </c>
      <c r="H20" s="16" t="s">
        <v>26</v>
      </c>
      <c r="I20" s="16" t="s">
        <v>27</v>
      </c>
      <c r="J20" s="17">
        <v>50500000</v>
      </c>
      <c r="K20" s="18">
        <v>45413</v>
      </c>
      <c r="L20" s="18">
        <v>45714</v>
      </c>
      <c r="M20" s="16" t="s">
        <v>47</v>
      </c>
      <c r="N20" s="37" t="s">
        <v>1630</v>
      </c>
      <c r="O20" s="32" t="str">
        <f>IFERROR(VLOOKUP($G20,[1]DB2!$A:$B,2,0),"공동과책 확인")</f>
        <v>Myeong, Soojeong</v>
      </c>
      <c r="P20" s="32" t="s">
        <v>2258</v>
      </c>
      <c r="Q20" s="32"/>
      <c r="R20" s="32" t="str">
        <f>IFERROR(VLOOKUP($I20,[1]DB2!$F$2:$I$58,2,0),"옛날 부서명 확인")</f>
        <v xml:space="preserve">Natural Environment Division </v>
      </c>
      <c r="S20" s="32" t="str">
        <f>IFERROR(VLOOKUP($I20,[1]DB2!$F$2:$I$58,4,0),"옛날 부서명 확인")</f>
        <v xml:space="preserve">Land and Environment Research Group </v>
      </c>
    </row>
    <row r="21" spans="1:19" ht="18" customHeight="1">
      <c r="A21" s="15" t="s">
        <v>139</v>
      </c>
      <c r="B21" s="15" t="s">
        <v>836</v>
      </c>
      <c r="C21" s="15" t="s">
        <v>892</v>
      </c>
      <c r="D21" s="16" t="s">
        <v>893</v>
      </c>
      <c r="E21" s="16"/>
      <c r="F21" s="16" t="s">
        <v>158</v>
      </c>
      <c r="G21" s="15" t="s">
        <v>159</v>
      </c>
      <c r="H21" s="16" t="s">
        <v>894</v>
      </c>
      <c r="I21" s="16" t="s">
        <v>594</v>
      </c>
      <c r="J21" s="17">
        <v>140000000</v>
      </c>
      <c r="K21" s="18">
        <v>45413</v>
      </c>
      <c r="L21" s="18">
        <v>45777</v>
      </c>
      <c r="M21" s="16"/>
      <c r="N21" s="37" t="s">
        <v>1748</v>
      </c>
      <c r="O21" s="32" t="str">
        <f>IFERROR(VLOOKUP($G21,[1]DB2!$A:$B,2,0),"공동과책 확인")</f>
        <v>Park, Chang Sug</v>
      </c>
      <c r="P21" s="32" t="s">
        <v>2257</v>
      </c>
      <c r="Q21" s="32" t="s">
        <v>1620</v>
      </c>
      <c r="R21" s="32" t="str">
        <f>IFERROR(VLOOKUP($I21,[1]DB2!$F$2:$I$58,2,0),"옛날 부서명 확인")</f>
        <v>Executive Office</v>
      </c>
      <c r="S21" s="32" t="str">
        <f>IFERROR(VLOOKUP($I21,[1]DB2!$F$2:$I$58,4,0),"옛날 부서명 확인")</f>
        <v>Executive Office</v>
      </c>
    </row>
    <row r="22" spans="1:19" ht="18" customHeight="1">
      <c r="A22" s="15" t="s">
        <v>142</v>
      </c>
      <c r="B22" s="15" t="s">
        <v>836</v>
      </c>
      <c r="C22" s="15" t="s">
        <v>901</v>
      </c>
      <c r="D22" s="16" t="s">
        <v>902</v>
      </c>
      <c r="E22" s="16"/>
      <c r="F22" s="16" t="s">
        <v>144</v>
      </c>
      <c r="G22" s="15" t="s">
        <v>145</v>
      </c>
      <c r="H22" s="16" t="s">
        <v>903</v>
      </c>
      <c r="I22" s="16" t="s">
        <v>528</v>
      </c>
      <c r="J22" s="17">
        <v>140000000</v>
      </c>
      <c r="K22" s="18">
        <v>45413</v>
      </c>
      <c r="L22" s="18">
        <v>45777</v>
      </c>
      <c r="M22" s="16"/>
      <c r="N22" s="37" t="s">
        <v>1750</v>
      </c>
      <c r="O22" s="32" t="str">
        <f>IFERROR(VLOOKUP($G22,[1]DB2!$A:$B,2,0),"공동과책 확인")</f>
        <v>Suh, Yang-won</v>
      </c>
      <c r="P22" s="32" t="s">
        <v>2255</v>
      </c>
      <c r="Q22" s="32" t="s">
        <v>2259</v>
      </c>
      <c r="R22" s="32" t="str">
        <f>IFERROR(VLOOKUP($I22,[1]DB2!$F$2:$I$58,2,0),"옛날 부서명 확인")</f>
        <v xml:space="preserve">Sustainable Development Research Group  </v>
      </c>
      <c r="S22" s="32" t="str">
        <f>IFERROR(VLOOKUP($I22,[1]DB2!$F$2:$I$58,4,0),"옛날 부서명 확인")</f>
        <v xml:space="preserve">Sustainable Development Research Group  </v>
      </c>
    </row>
    <row r="23" spans="1:19" ht="18" customHeight="1">
      <c r="A23" s="15" t="s">
        <v>149</v>
      </c>
      <c r="B23" s="15" t="s">
        <v>836</v>
      </c>
      <c r="C23" s="15" t="s">
        <v>904</v>
      </c>
      <c r="D23" s="16" t="s">
        <v>905</v>
      </c>
      <c r="E23" s="16"/>
      <c r="F23" s="16" t="s">
        <v>175</v>
      </c>
      <c r="G23" s="15" t="s">
        <v>176</v>
      </c>
      <c r="H23" s="16" t="s">
        <v>93</v>
      </c>
      <c r="I23" s="16" t="s">
        <v>435</v>
      </c>
      <c r="J23" s="17">
        <v>140000000</v>
      </c>
      <c r="K23" s="18">
        <v>45413</v>
      </c>
      <c r="L23" s="18">
        <v>45777</v>
      </c>
      <c r="M23" s="16"/>
      <c r="N23" s="37" t="s">
        <v>1751</v>
      </c>
      <c r="O23" s="32" t="str">
        <f>IFERROR(VLOOKUP($G23,[1]DB2!$A:$B,2,0),"공동과책 확인")</f>
        <v>Kang, Hyeongsik</v>
      </c>
      <c r="P23" s="32" t="s">
        <v>1617</v>
      </c>
      <c r="Q23" s="32" t="s">
        <v>1619</v>
      </c>
      <c r="R23" s="32" t="str">
        <f>IFERROR(VLOOKUP($I23,[1]DB2!$F$2:$I$58,2,0),"옛날 부서명 확인")</f>
        <v xml:space="preserve">Land and Environment Research Group </v>
      </c>
      <c r="S23" s="32" t="str">
        <f>IFERROR(VLOOKUP($I23,[1]DB2!$F$2:$I$58,4,0),"옛날 부서명 확인")</f>
        <v xml:space="preserve">Land and Environment Research Group </v>
      </c>
    </row>
    <row r="24" spans="1:19" ht="18" customHeight="1">
      <c r="A24" s="15" t="s">
        <v>155</v>
      </c>
      <c r="B24" s="15" t="s">
        <v>836</v>
      </c>
      <c r="C24" s="15" t="s">
        <v>906</v>
      </c>
      <c r="D24" s="16" t="s">
        <v>907</v>
      </c>
      <c r="E24" s="16"/>
      <c r="F24" s="16" t="s">
        <v>908</v>
      </c>
      <c r="G24" s="15" t="s">
        <v>794</v>
      </c>
      <c r="H24" s="16" t="s">
        <v>99</v>
      </c>
      <c r="I24" s="16" t="s">
        <v>333</v>
      </c>
      <c r="J24" s="17">
        <v>34702000</v>
      </c>
      <c r="K24" s="18">
        <v>45413</v>
      </c>
      <c r="L24" s="18">
        <v>45777</v>
      </c>
      <c r="M24" s="16"/>
      <c r="N24" s="37" t="s">
        <v>1752</v>
      </c>
      <c r="O24" s="32" t="str">
        <f>IFERROR(VLOOKUP($G24,[1]DB2!$A:$B,2,0),"공동과책 확인")</f>
        <v xml:space="preserve">Park, Juyoung </v>
      </c>
      <c r="P24" s="32" t="s">
        <v>1621</v>
      </c>
      <c r="Q24" s="32" t="s">
        <v>2157</v>
      </c>
      <c r="R24" s="32" t="str">
        <f>IFERROR(VLOOKUP($I24,[1]DB2!$F$2:$I$58,2,0),"옛날 부서명 확인")</f>
        <v xml:space="preserve">Green Economy Division </v>
      </c>
      <c r="S24" s="32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5" t="s">
        <v>160</v>
      </c>
      <c r="B25" s="15" t="s">
        <v>836</v>
      </c>
      <c r="C25" s="15" t="s">
        <v>909</v>
      </c>
      <c r="D25" s="16" t="s">
        <v>910</v>
      </c>
      <c r="E25" s="16"/>
      <c r="F25" s="16" t="s">
        <v>577</v>
      </c>
      <c r="G25" s="15" t="s">
        <v>911</v>
      </c>
      <c r="H25" s="16" t="s">
        <v>190</v>
      </c>
      <c r="I25" s="16" t="s">
        <v>191</v>
      </c>
      <c r="J25" s="17">
        <v>35000000</v>
      </c>
      <c r="K25" s="18">
        <v>45413</v>
      </c>
      <c r="L25" s="18">
        <v>45777</v>
      </c>
      <c r="M25" s="16"/>
      <c r="N25" s="37" t="s">
        <v>1753</v>
      </c>
      <c r="O25" s="32" t="s">
        <v>2260</v>
      </c>
      <c r="P25" s="32" t="s">
        <v>1616</v>
      </c>
      <c r="Q25" s="32" t="s">
        <v>2255</v>
      </c>
      <c r="R25" s="32" t="str">
        <f>IFERROR(VLOOKUP($I25,[1]DB2!$F$2:$I$58,2,0),"옛날 부서명 확인")</f>
        <v>Atmospheric Environment Division</v>
      </c>
      <c r="S25" s="32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5" t="s">
        <v>162</v>
      </c>
      <c r="B26" s="15" t="s">
        <v>836</v>
      </c>
      <c r="C26" s="15" t="s">
        <v>912</v>
      </c>
      <c r="D26" s="16" t="s">
        <v>913</v>
      </c>
      <c r="E26" s="16"/>
      <c r="F26" s="16" t="s">
        <v>914</v>
      </c>
      <c r="G26" s="15" t="s">
        <v>915</v>
      </c>
      <c r="H26" s="16" t="s">
        <v>87</v>
      </c>
      <c r="I26" s="16" t="s">
        <v>477</v>
      </c>
      <c r="J26" s="17">
        <v>34036000</v>
      </c>
      <c r="K26" s="18">
        <v>45413</v>
      </c>
      <c r="L26" s="18">
        <v>45777</v>
      </c>
      <c r="M26" s="16"/>
      <c r="N26" s="37" t="s">
        <v>1754</v>
      </c>
      <c r="O26" s="32" t="str">
        <f>IFERROR(VLOOKUP($G26,[1]DB2!$A:$B,2,0),"공동과책 확인")</f>
        <v>Lee, Jinhee</v>
      </c>
      <c r="P26" s="32" t="s">
        <v>1618</v>
      </c>
      <c r="Q26" s="32" t="s">
        <v>1617</v>
      </c>
      <c r="R26" s="32" t="str">
        <f>IFERROR(VLOOKUP($I26,[1]DB2!$F$2:$I$58,2,0),"옛날 부서명 확인")</f>
        <v xml:space="preserve">Environmental Resources Assessment Division </v>
      </c>
      <c r="S26" s="32" t="str">
        <f>IFERROR(VLOOKUP($I26,[1]DB2!$F$2:$I$58,4,0),"옛날 부서명 확인")</f>
        <v xml:space="preserve">Environmental Assessment Group </v>
      </c>
    </row>
    <row r="27" spans="1:19" ht="18" customHeight="1">
      <c r="A27" s="15" t="s">
        <v>165</v>
      </c>
      <c r="B27" s="15" t="s">
        <v>836</v>
      </c>
      <c r="C27" s="15" t="s">
        <v>916</v>
      </c>
      <c r="D27" s="16" t="s">
        <v>917</v>
      </c>
      <c r="E27" s="16"/>
      <c r="F27" s="16" t="s">
        <v>845</v>
      </c>
      <c r="G27" s="15" t="s">
        <v>846</v>
      </c>
      <c r="H27" s="16" t="s">
        <v>99</v>
      </c>
      <c r="I27" s="16" t="s">
        <v>39</v>
      </c>
      <c r="J27" s="17">
        <v>50000000</v>
      </c>
      <c r="K27" s="18">
        <v>45413</v>
      </c>
      <c r="L27" s="18">
        <v>45777</v>
      </c>
      <c r="M27" s="16"/>
      <c r="N27" s="37" t="s">
        <v>2312</v>
      </c>
      <c r="O27" s="32" t="str">
        <f>IFERROR(VLOOKUP($G27,[1]DB2!$A:$B,2,0),"공동과책 확인")</f>
        <v>Lee, Jae-hyuck</v>
      </c>
      <c r="P27" s="32" t="s">
        <v>2255</v>
      </c>
      <c r="Q27" s="32" t="s">
        <v>2258</v>
      </c>
      <c r="R27" s="32" t="str">
        <f>IFERROR(VLOOKUP($I27,[1]DB2!$F$2:$I$58,2,0),"옛날 부서명 확인")</f>
        <v xml:space="preserve">Living Environment and Society Division </v>
      </c>
      <c r="S27" s="32" t="str">
        <f>IFERROR(VLOOKUP($I27,[1]DB2!$F$2:$I$58,4,0),"옛날 부서명 확인")</f>
        <v xml:space="preserve">Sustainable Development Research Group  </v>
      </c>
    </row>
    <row r="28" spans="1:19" ht="18" customHeight="1">
      <c r="A28" s="15" t="s">
        <v>169</v>
      </c>
      <c r="B28" s="15" t="s">
        <v>836</v>
      </c>
      <c r="C28" s="15" t="s">
        <v>918</v>
      </c>
      <c r="D28" s="16" t="s">
        <v>919</v>
      </c>
      <c r="E28" s="16"/>
      <c r="F28" s="16" t="s">
        <v>852</v>
      </c>
      <c r="G28" s="15" t="s">
        <v>853</v>
      </c>
      <c r="H28" s="16" t="s">
        <v>46</v>
      </c>
      <c r="I28" s="16" t="s">
        <v>209</v>
      </c>
      <c r="J28" s="17">
        <v>50000000</v>
      </c>
      <c r="K28" s="18">
        <v>45413</v>
      </c>
      <c r="L28" s="18">
        <v>45777</v>
      </c>
      <c r="M28" s="16"/>
      <c r="N28" s="38" t="s">
        <v>2015</v>
      </c>
      <c r="O28" s="32" t="str">
        <f>IFERROR(VLOOKUP($G28,[1]DB2!$A:$B,2,0),"공동과책 확인")</f>
        <v xml:space="preserve">Kim, Taehyun </v>
      </c>
      <c r="P28" s="32" t="s">
        <v>2256</v>
      </c>
      <c r="Q28" s="32" t="s">
        <v>2258</v>
      </c>
      <c r="R28" s="32" t="str">
        <f>IFERROR(VLOOKUP($I28,[1]DB2!$F$2:$I$58,2,0),"옛날 부서명 확인")</f>
        <v>Spatial Planning and Management Division</v>
      </c>
      <c r="S28" s="32" t="str">
        <f>IFERROR(VLOOKUP($I28,[1]DB2!$F$2:$I$58,4,0),"옛날 부서명 확인")</f>
        <v xml:space="preserve">Land and Environment Research Group </v>
      </c>
    </row>
    <row r="29" spans="1:19" ht="18" customHeight="1">
      <c r="A29" s="15" t="s">
        <v>173</v>
      </c>
      <c r="B29" s="15" t="s">
        <v>836</v>
      </c>
      <c r="C29" s="15" t="s">
        <v>920</v>
      </c>
      <c r="D29" s="16" t="s">
        <v>921</v>
      </c>
      <c r="E29" s="16"/>
      <c r="F29" s="16" t="s">
        <v>922</v>
      </c>
      <c r="G29" s="15" t="s">
        <v>923</v>
      </c>
      <c r="H29" s="16" t="s">
        <v>750</v>
      </c>
      <c r="I29" s="16" t="s">
        <v>889</v>
      </c>
      <c r="J29" s="17">
        <v>120000000</v>
      </c>
      <c r="K29" s="18">
        <v>45413</v>
      </c>
      <c r="L29" s="18">
        <v>45777</v>
      </c>
      <c r="M29" s="16"/>
      <c r="N29" s="37" t="s">
        <v>1755</v>
      </c>
      <c r="O29" s="32" t="str">
        <f>IFERROR(VLOOKUP($G29,[1]DB2!$A:$B,2,0),"공동과책 확인")</f>
        <v>Jin, Daeyong</v>
      </c>
      <c r="P29" s="32" t="s">
        <v>2257</v>
      </c>
      <c r="Q29" s="32"/>
      <c r="R29" s="32" t="str">
        <f>IFERROR(VLOOKUP($I29,[1]DB2!$F$2:$I$58,2,0),"옛날 부서명 확인")</f>
        <v xml:space="preserve">AI and Data Team </v>
      </c>
      <c r="S29" s="32" t="str">
        <f>IFERROR(VLOOKUP($I29,[1]DB2!$F$2:$I$58,4,0),"옛날 부서명 확인")</f>
        <v xml:space="preserve">Department of Planning and Strategy </v>
      </c>
    </row>
    <row r="30" spans="1:19" ht="18" customHeight="1">
      <c r="A30" s="15" t="s">
        <v>178</v>
      </c>
      <c r="B30" s="15" t="s">
        <v>836</v>
      </c>
      <c r="C30" s="15" t="s">
        <v>924</v>
      </c>
      <c r="D30" s="16" t="s">
        <v>925</v>
      </c>
      <c r="E30" s="16"/>
      <c r="F30" s="16" t="s">
        <v>800</v>
      </c>
      <c r="G30" s="15" t="s">
        <v>801</v>
      </c>
      <c r="H30" s="16" t="s">
        <v>926</v>
      </c>
      <c r="I30" s="16" t="s">
        <v>788</v>
      </c>
      <c r="J30" s="17">
        <v>212762000</v>
      </c>
      <c r="K30" s="18">
        <v>45413</v>
      </c>
      <c r="L30" s="18">
        <v>45838</v>
      </c>
      <c r="M30" s="16"/>
      <c r="N30" s="37" t="s">
        <v>1756</v>
      </c>
      <c r="O30" s="32" t="str">
        <f>IFERROR(VLOOKUP($G30,[1]DB2!$A:$B,2,0),"공동과책 확인")</f>
        <v>Park, Jun Hyun</v>
      </c>
      <c r="P30" s="32" t="s">
        <v>2258</v>
      </c>
      <c r="Q30" s="32"/>
      <c r="R30" s="32" t="str">
        <f>IFERROR(VLOOKUP($I30,[1]DB2!$F$2:$I$58,2,0),"옛날 부서명 확인")</f>
        <v>Global Cooperation Team</v>
      </c>
      <c r="S30" s="32" t="str">
        <f>IFERROR(VLOOKUP($I30,[1]DB2!$F$2:$I$58,4,0),"옛날 부서명 확인")</f>
        <v xml:space="preserve">Department of Planning and Strategy </v>
      </c>
    </row>
    <row r="31" spans="1:19" ht="18" customHeight="1">
      <c r="A31" s="15" t="s">
        <v>185</v>
      </c>
      <c r="B31" s="15" t="s">
        <v>21</v>
      </c>
      <c r="C31" s="15" t="s">
        <v>113</v>
      </c>
      <c r="D31" s="16" t="s">
        <v>114</v>
      </c>
      <c r="E31" s="16"/>
      <c r="F31" s="16" t="s">
        <v>115</v>
      </c>
      <c r="G31" s="15" t="s">
        <v>116</v>
      </c>
      <c r="H31" s="16" t="s">
        <v>99</v>
      </c>
      <c r="I31" s="16" t="s">
        <v>255</v>
      </c>
      <c r="J31" s="17">
        <v>136363630</v>
      </c>
      <c r="K31" s="18">
        <v>45415</v>
      </c>
      <c r="L31" s="18">
        <v>45747</v>
      </c>
      <c r="M31" s="16" t="s">
        <v>117</v>
      </c>
      <c r="N31" s="37" t="s">
        <v>1631</v>
      </c>
      <c r="O31" s="32" t="str">
        <f>IFERROR(VLOOKUP($G31,[1]DB2!$A:$B,2,0),"공동과책 확인")</f>
        <v>Kim, Jongho</v>
      </c>
      <c r="P31" s="32" t="s">
        <v>1621</v>
      </c>
      <c r="Q31" s="32" t="s">
        <v>2257</v>
      </c>
      <c r="R31" s="32" t="str">
        <f>IFERROR(VLOOKUP($I31,[1]DB2!$F$2:$I$58,2,0),"옛날 부서명 확인")</f>
        <v xml:space="preserve">Circular Economy Division </v>
      </c>
      <c r="S31" s="32" t="str">
        <f>IFERROR(VLOOKUP($I31,[1]DB2!$F$2:$I$58,4,0),"옛날 부서명 확인")</f>
        <v xml:space="preserve">Sustainable Development Research Group  </v>
      </c>
    </row>
    <row r="32" spans="1:19" ht="18" customHeight="1">
      <c r="A32" s="15" t="s">
        <v>193</v>
      </c>
      <c r="B32" s="15" t="s">
        <v>21</v>
      </c>
      <c r="C32" s="15" t="s">
        <v>119</v>
      </c>
      <c r="D32" s="16" t="s">
        <v>120</v>
      </c>
      <c r="E32" s="16"/>
      <c r="F32" s="16" t="s">
        <v>121</v>
      </c>
      <c r="G32" s="15" t="s">
        <v>122</v>
      </c>
      <c r="H32" s="16" t="s">
        <v>123</v>
      </c>
      <c r="I32" s="16" t="s">
        <v>124</v>
      </c>
      <c r="J32" s="17">
        <v>80181810</v>
      </c>
      <c r="K32" s="18">
        <v>45441</v>
      </c>
      <c r="L32" s="18">
        <v>45738</v>
      </c>
      <c r="M32" s="16" t="s">
        <v>125</v>
      </c>
      <c r="N32" s="37" t="s">
        <v>1632</v>
      </c>
      <c r="O32" s="32" t="str">
        <f>IFERROR(VLOOKUP($G32,[1]DB2!$A:$B,2,0),"공동과책 확인")</f>
        <v>Kim, Sungjin</v>
      </c>
      <c r="P32" s="32" t="s">
        <v>2255</v>
      </c>
      <c r="Q32" s="32" t="s">
        <v>2257</v>
      </c>
      <c r="R32" s="32" t="str">
        <f>IFERROR(VLOOKUP($I32,[1]DB2!$F$2:$I$58,2,0),"옛날 부서명 확인")</f>
        <v xml:space="preserve">Carbon Neutrality Division </v>
      </c>
      <c r="S32" s="32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5" t="s">
        <v>200</v>
      </c>
      <c r="B33" s="15" t="s">
        <v>21</v>
      </c>
      <c r="C33" s="15" t="s">
        <v>127</v>
      </c>
      <c r="D33" s="16" t="s">
        <v>128</v>
      </c>
      <c r="E33" s="16"/>
      <c r="F33" s="16" t="s">
        <v>129</v>
      </c>
      <c r="G33" s="15" t="s">
        <v>130</v>
      </c>
      <c r="H33" s="16" t="s">
        <v>93</v>
      </c>
      <c r="I33" s="16" t="s">
        <v>199</v>
      </c>
      <c r="J33" s="17">
        <v>86418180</v>
      </c>
      <c r="K33" s="18">
        <v>45446</v>
      </c>
      <c r="L33" s="18">
        <v>45716</v>
      </c>
      <c r="M33" s="16" t="s">
        <v>131</v>
      </c>
      <c r="N33" s="37" t="s">
        <v>1633</v>
      </c>
      <c r="O33" s="32" t="str">
        <f>IFERROR(VLOOKUP($G33,[1]DB2!$A:$B,2,0),"공동과책 확인")</f>
        <v>Han, Daeho</v>
      </c>
      <c r="P33" s="32" t="s">
        <v>1617</v>
      </c>
      <c r="Q33" s="32" t="s">
        <v>1613</v>
      </c>
      <c r="R33" s="32" t="str">
        <f>IFERROR(VLOOKUP($I33,[1]DB2!$F$2:$I$58,2,0),"옛날 부서명 확인")</f>
        <v xml:space="preserve">Water Management Division </v>
      </c>
      <c r="S33" s="32" t="str">
        <f>IFERROR(VLOOKUP($I33,[1]DB2!$F$2:$I$58,4,0),"옛날 부서명 확인")</f>
        <v xml:space="preserve">Land and Environment Research Group </v>
      </c>
    </row>
    <row r="34" spans="1:19" ht="18" customHeight="1">
      <c r="A34" s="15" t="s">
        <v>203</v>
      </c>
      <c r="B34" s="15" t="s">
        <v>21</v>
      </c>
      <c r="C34" s="15" t="s">
        <v>133</v>
      </c>
      <c r="D34" s="16" t="s">
        <v>134</v>
      </c>
      <c r="E34" s="16"/>
      <c r="F34" s="16" t="s">
        <v>135</v>
      </c>
      <c r="G34" s="15" t="s">
        <v>136</v>
      </c>
      <c r="H34" s="16" t="s">
        <v>137</v>
      </c>
      <c r="I34" s="16" t="s">
        <v>409</v>
      </c>
      <c r="J34" s="17">
        <v>39750000</v>
      </c>
      <c r="K34" s="18">
        <v>45447</v>
      </c>
      <c r="L34" s="18">
        <v>45716</v>
      </c>
      <c r="M34" s="16" t="s">
        <v>138</v>
      </c>
      <c r="N34" s="37" t="s">
        <v>1634</v>
      </c>
      <c r="O34" s="32" t="str">
        <f>IFERROR(VLOOKUP($G34,[1]DB2!$A:$B,2,0),"공동과책 확인")</f>
        <v>Yi, Youngjae</v>
      </c>
      <c r="P34" s="32" t="s">
        <v>1618</v>
      </c>
      <c r="Q34" s="32" t="s">
        <v>2256</v>
      </c>
      <c r="R34" s="32" t="str">
        <f>IFERROR(VLOOKUP($I34,[1]DB2!$F$2:$I$58,2,0),"옛날 부서명 확인")</f>
        <v xml:space="preserve">Land Strategy Assessment Division </v>
      </c>
      <c r="S34" s="32" t="str">
        <f>IFERROR(VLOOKUP($I34,[1]DB2!$F$2:$I$58,4,0),"옛날 부서명 확인")</f>
        <v xml:space="preserve">Environmental Assessment Group </v>
      </c>
    </row>
    <row r="35" spans="1:19" ht="18" customHeight="1">
      <c r="A35" s="15" t="s">
        <v>211</v>
      </c>
      <c r="B35" s="15" t="s">
        <v>21</v>
      </c>
      <c r="C35" s="15" t="s">
        <v>140</v>
      </c>
      <c r="D35" s="16" t="s">
        <v>141</v>
      </c>
      <c r="E35" s="16"/>
      <c r="F35" s="16" t="s">
        <v>129</v>
      </c>
      <c r="G35" s="15" t="s">
        <v>130</v>
      </c>
      <c r="H35" s="16" t="s">
        <v>93</v>
      </c>
      <c r="I35" s="16" t="s">
        <v>199</v>
      </c>
      <c r="J35" s="17">
        <v>81818180</v>
      </c>
      <c r="K35" s="18">
        <v>45456</v>
      </c>
      <c r="L35" s="18">
        <v>45807</v>
      </c>
      <c r="M35" s="16" t="s">
        <v>47</v>
      </c>
      <c r="N35" s="37" t="s">
        <v>1635</v>
      </c>
      <c r="O35" s="32" t="str">
        <f>IFERROR(VLOOKUP($G35,[1]DB2!$A:$B,2,0),"공동과책 확인")</f>
        <v>Han, Daeho</v>
      </c>
      <c r="P35" s="32" t="s">
        <v>1617</v>
      </c>
      <c r="Q35" s="32"/>
      <c r="R35" s="32" t="str">
        <f>IFERROR(VLOOKUP($I35,[1]DB2!$F$2:$I$58,2,0),"옛날 부서명 확인")</f>
        <v xml:space="preserve">Water Management Division </v>
      </c>
      <c r="S35" s="32" t="str">
        <f>IFERROR(VLOOKUP($I35,[1]DB2!$F$2:$I$58,4,0),"옛날 부서명 확인")</f>
        <v xml:space="preserve">Land and Environment Research Group </v>
      </c>
    </row>
    <row r="36" spans="1:19" ht="18" customHeight="1">
      <c r="A36" s="15" t="s">
        <v>216</v>
      </c>
      <c r="B36" s="15" t="s">
        <v>21</v>
      </c>
      <c r="C36" s="15" t="s">
        <v>143</v>
      </c>
      <c r="D36" s="16" t="s">
        <v>2338</v>
      </c>
      <c r="E36" s="16"/>
      <c r="F36" s="16" t="s">
        <v>144</v>
      </c>
      <c r="G36" s="15" t="s">
        <v>145</v>
      </c>
      <c r="H36" s="16" t="s">
        <v>146</v>
      </c>
      <c r="I36" s="16" t="s">
        <v>528</v>
      </c>
      <c r="J36" s="17">
        <v>150054000</v>
      </c>
      <c r="K36" s="18">
        <v>45456</v>
      </c>
      <c r="L36" s="18">
        <v>45747</v>
      </c>
      <c r="M36" s="16" t="s">
        <v>148</v>
      </c>
      <c r="N36" s="37" t="s">
        <v>2321</v>
      </c>
      <c r="O36" s="32" t="str">
        <f>IFERROR(VLOOKUP($G36,[1]DB2!$A:$B,2,0),"공동과책 확인")</f>
        <v>Suh, Yang-won</v>
      </c>
      <c r="P36" s="32" t="s">
        <v>1615</v>
      </c>
      <c r="Q36" s="32" t="s">
        <v>1619</v>
      </c>
      <c r="R36" s="32" t="str">
        <f>IFERROR(VLOOKUP($I36,[1]DB2!$F$2:$I$58,2,0),"옛날 부서명 확인")</f>
        <v xml:space="preserve">Sustainable Development Research Group  </v>
      </c>
      <c r="S36" s="32" t="str">
        <f>IFERROR(VLOOKUP($I36,[1]DB2!$F$2:$I$58,4,0),"옛날 부서명 확인")</f>
        <v xml:space="preserve">Sustainable Development Research Group  </v>
      </c>
    </row>
    <row r="37" spans="1:19" ht="18" customHeight="1">
      <c r="A37" s="15" t="s">
        <v>222</v>
      </c>
      <c r="B37" s="15" t="s">
        <v>21</v>
      </c>
      <c r="C37" s="15" t="s">
        <v>150</v>
      </c>
      <c r="D37" s="16" t="s">
        <v>151</v>
      </c>
      <c r="E37" s="16"/>
      <c r="F37" s="16" t="s">
        <v>152</v>
      </c>
      <c r="G37" s="15" t="s">
        <v>153</v>
      </c>
      <c r="H37" s="16" t="s">
        <v>123</v>
      </c>
      <c r="I37" s="16" t="s">
        <v>124</v>
      </c>
      <c r="J37" s="17">
        <v>59363430</v>
      </c>
      <c r="K37" s="18">
        <v>45488</v>
      </c>
      <c r="L37" s="18">
        <v>45730</v>
      </c>
      <c r="M37" s="16" t="s">
        <v>154</v>
      </c>
      <c r="N37" s="37" t="s">
        <v>1636</v>
      </c>
      <c r="O37" s="32" t="str">
        <f>IFERROR(VLOOKUP($G37,[1]DB2!$A:$B,2,0),"공동과책 확인")</f>
        <v>Lee, Jeongeun</v>
      </c>
      <c r="P37" s="32" t="s">
        <v>2255</v>
      </c>
      <c r="Q37" s="32" t="s">
        <v>1621</v>
      </c>
      <c r="R37" s="32" t="str">
        <f>IFERROR(VLOOKUP($I37,[1]DB2!$F$2:$I$58,2,0),"옛날 부서명 확인")</f>
        <v xml:space="preserve">Carbon Neutrality Division </v>
      </c>
      <c r="S37" s="32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5" t="s">
        <v>228</v>
      </c>
      <c r="B38" s="15" t="s">
        <v>21</v>
      </c>
      <c r="C38" s="15" t="s">
        <v>156</v>
      </c>
      <c r="D38" s="16" t="s">
        <v>157</v>
      </c>
      <c r="E38" s="16"/>
      <c r="F38" s="16" t="s">
        <v>158</v>
      </c>
      <c r="G38" s="15" t="s">
        <v>159</v>
      </c>
      <c r="H38" s="16" t="s">
        <v>46</v>
      </c>
      <c r="I38" s="16" t="s">
        <v>594</v>
      </c>
      <c r="J38" s="17">
        <v>69280000</v>
      </c>
      <c r="K38" s="18">
        <v>45488</v>
      </c>
      <c r="L38" s="18">
        <v>45747</v>
      </c>
      <c r="M38" s="16" t="s">
        <v>47</v>
      </c>
      <c r="N38" s="37" t="s">
        <v>1637</v>
      </c>
      <c r="O38" s="32" t="str">
        <f>IFERROR(VLOOKUP($G38,[1]DB2!$A:$B,2,0),"공동과책 확인")</f>
        <v>Park, Chang Sug</v>
      </c>
      <c r="P38" s="32" t="s">
        <v>2256</v>
      </c>
      <c r="Q38" s="32" t="s">
        <v>1622</v>
      </c>
      <c r="R38" s="32" t="str">
        <f>IFERROR(VLOOKUP($I38,[1]DB2!$F$2:$I$58,2,0),"옛날 부서명 확인")</f>
        <v>Executive Office</v>
      </c>
      <c r="S38" s="32" t="str">
        <f>IFERROR(VLOOKUP($I38,[1]DB2!$F$2:$I$58,4,0),"옛날 부서명 확인")</f>
        <v>Executive Office</v>
      </c>
    </row>
    <row r="39" spans="1:19" ht="18" customHeight="1">
      <c r="A39" s="15" t="s">
        <v>238</v>
      </c>
      <c r="B39" s="15" t="s">
        <v>21</v>
      </c>
      <c r="C39" s="15" t="s">
        <v>163</v>
      </c>
      <c r="D39" s="16" t="s">
        <v>164</v>
      </c>
      <c r="E39" s="16"/>
      <c r="F39" s="16" t="s">
        <v>44</v>
      </c>
      <c r="G39" s="15" t="s">
        <v>45</v>
      </c>
      <c r="H39" s="16" t="s">
        <v>46</v>
      </c>
      <c r="I39" s="16" t="s">
        <v>209</v>
      </c>
      <c r="J39" s="17">
        <v>72270000</v>
      </c>
      <c r="K39" s="18">
        <v>45495</v>
      </c>
      <c r="L39" s="18">
        <v>45734</v>
      </c>
      <c r="M39" s="16" t="s">
        <v>47</v>
      </c>
      <c r="N39" s="37" t="s">
        <v>1638</v>
      </c>
      <c r="O39" s="32" t="str">
        <f>IFERROR(VLOOKUP($G39,[1]DB2!$A:$B,2,0),"공동과책 확인")</f>
        <v>Son, Seungwoo</v>
      </c>
      <c r="P39" s="32" t="s">
        <v>2256</v>
      </c>
      <c r="Q39" s="32" t="s">
        <v>1614</v>
      </c>
      <c r="R39" s="32" t="str">
        <f>IFERROR(VLOOKUP($I39,[1]DB2!$F$2:$I$58,2,0),"옛날 부서명 확인")</f>
        <v>Spatial Planning and Management Division</v>
      </c>
      <c r="S39" s="32" t="str">
        <f>IFERROR(VLOOKUP($I39,[1]DB2!$F$2:$I$58,4,0),"옛날 부서명 확인")</f>
        <v xml:space="preserve">Land and Environment Research Group </v>
      </c>
    </row>
    <row r="40" spans="1:19" ht="18" customHeight="1">
      <c r="A40" s="15" t="s">
        <v>244</v>
      </c>
      <c r="B40" s="15" t="s">
        <v>21</v>
      </c>
      <c r="C40" s="15" t="s">
        <v>170</v>
      </c>
      <c r="D40" s="16" t="s">
        <v>171</v>
      </c>
      <c r="E40" s="16"/>
      <c r="F40" s="16" t="s">
        <v>80</v>
      </c>
      <c r="G40" s="15" t="s">
        <v>81</v>
      </c>
      <c r="H40" s="16" t="s">
        <v>46</v>
      </c>
      <c r="I40" s="16" t="s">
        <v>209</v>
      </c>
      <c r="J40" s="17">
        <v>80589750</v>
      </c>
      <c r="K40" s="18">
        <v>45498</v>
      </c>
      <c r="L40" s="18">
        <v>45672</v>
      </c>
      <c r="M40" s="16" t="s">
        <v>172</v>
      </c>
      <c r="N40" s="37" t="s">
        <v>2309</v>
      </c>
      <c r="O40" s="32" t="str">
        <f>IFERROR(VLOOKUP($G40,[1]DB2!$A:$B,2,0),"공동과책 확인")</f>
        <v>Lee, MoungJin</v>
      </c>
      <c r="P40" s="32" t="s">
        <v>1617</v>
      </c>
      <c r="Q40" s="32" t="s">
        <v>2257</v>
      </c>
      <c r="R40" s="32" t="str">
        <f>IFERROR(VLOOKUP($I40,[1]DB2!$F$2:$I$58,2,0),"옛날 부서명 확인")</f>
        <v>Spatial Planning and Management Division</v>
      </c>
      <c r="S40" s="32" t="str">
        <f>IFERROR(VLOOKUP($I40,[1]DB2!$F$2:$I$58,4,0),"옛날 부서명 확인")</f>
        <v xml:space="preserve">Land and Environment Research Group </v>
      </c>
    </row>
    <row r="41" spans="1:19" ht="18" customHeight="1">
      <c r="A41" s="15" t="s">
        <v>249</v>
      </c>
      <c r="B41" s="15" t="s">
        <v>21</v>
      </c>
      <c r="C41" s="15" t="s">
        <v>174</v>
      </c>
      <c r="D41" s="16" t="s">
        <v>2339</v>
      </c>
      <c r="E41" s="16"/>
      <c r="F41" s="16" t="s">
        <v>175</v>
      </c>
      <c r="G41" s="15" t="s">
        <v>176</v>
      </c>
      <c r="H41" s="16" t="s">
        <v>93</v>
      </c>
      <c r="I41" s="16" t="s">
        <v>435</v>
      </c>
      <c r="J41" s="17">
        <v>87895342</v>
      </c>
      <c r="K41" s="18">
        <v>45499</v>
      </c>
      <c r="L41" s="18">
        <v>45678</v>
      </c>
      <c r="M41" s="16" t="s">
        <v>177</v>
      </c>
      <c r="N41" s="37" t="s">
        <v>1639</v>
      </c>
      <c r="O41" s="32" t="str">
        <f>IFERROR(VLOOKUP($G41,[1]DB2!$A:$B,2,0),"공동과책 확인")</f>
        <v>Kang, Hyeongsik</v>
      </c>
      <c r="P41" s="32" t="s">
        <v>1617</v>
      </c>
      <c r="Q41" s="32" t="s">
        <v>1620</v>
      </c>
      <c r="R41" s="32" t="str">
        <f>IFERROR(VLOOKUP($I41,[1]DB2!$F$2:$I$58,2,0),"옛날 부서명 확인")</f>
        <v xml:space="preserve">Land and Environment Research Group </v>
      </c>
      <c r="S41" s="32" t="str">
        <f>IFERROR(VLOOKUP($I41,[1]DB2!$F$2:$I$58,4,0),"옛날 부서명 확인")</f>
        <v xml:space="preserve">Land and Environment Research Group </v>
      </c>
    </row>
    <row r="42" spans="1:19" ht="18" customHeight="1">
      <c r="A42" s="15" t="s">
        <v>257</v>
      </c>
      <c r="B42" s="15" t="s">
        <v>21</v>
      </c>
      <c r="C42" s="15" t="s">
        <v>166</v>
      </c>
      <c r="D42" s="16" t="s">
        <v>167</v>
      </c>
      <c r="E42" s="16"/>
      <c r="F42" s="16" t="s">
        <v>51</v>
      </c>
      <c r="G42" s="15" t="s">
        <v>52</v>
      </c>
      <c r="H42" s="16" t="s">
        <v>26</v>
      </c>
      <c r="I42" s="16" t="s">
        <v>27</v>
      </c>
      <c r="J42" s="17">
        <v>68100000</v>
      </c>
      <c r="K42" s="18">
        <v>45502</v>
      </c>
      <c r="L42" s="18">
        <v>45744</v>
      </c>
      <c r="M42" s="16" t="s">
        <v>168</v>
      </c>
      <c r="N42" s="38" t="s">
        <v>2340</v>
      </c>
      <c r="O42" s="32" t="str">
        <f>IFERROR(VLOOKUP($G42,[1]DB2!$A:$B,2,0),"공동과책 확인")</f>
        <v xml:space="preserve">Koo, Kyung Ah </v>
      </c>
      <c r="P42" s="32" t="s">
        <v>1614</v>
      </c>
      <c r="Q42" s="32" t="s">
        <v>2258</v>
      </c>
      <c r="R42" s="32" t="str">
        <f>IFERROR(VLOOKUP($I42,[1]DB2!$F$2:$I$58,2,0),"옛날 부서명 확인")</f>
        <v xml:space="preserve">Natural Environment Division </v>
      </c>
      <c r="S42" s="32" t="str">
        <f>IFERROR(VLOOKUP($I42,[1]DB2!$F$2:$I$58,4,0),"옛날 부서명 확인")</f>
        <v xml:space="preserve">Land and Environment Research Group </v>
      </c>
    </row>
    <row r="43" spans="1:19" ht="18" customHeight="1">
      <c r="A43" s="15" t="s">
        <v>263</v>
      </c>
      <c r="B43" s="15" t="s">
        <v>21</v>
      </c>
      <c r="C43" s="15" t="s">
        <v>179</v>
      </c>
      <c r="D43" s="16" t="s">
        <v>180</v>
      </c>
      <c r="E43" s="16"/>
      <c r="F43" s="16" t="s">
        <v>181</v>
      </c>
      <c r="G43" s="15" t="s">
        <v>182</v>
      </c>
      <c r="H43" s="16" t="s">
        <v>99</v>
      </c>
      <c r="I43" s="16" t="s">
        <v>333</v>
      </c>
      <c r="J43" s="17">
        <v>91241000</v>
      </c>
      <c r="K43" s="18">
        <v>45509</v>
      </c>
      <c r="L43" s="18">
        <v>45873</v>
      </c>
      <c r="M43" s="16" t="s">
        <v>47</v>
      </c>
      <c r="N43" s="37" t="s">
        <v>1640</v>
      </c>
      <c r="O43" s="32" t="str">
        <f>IFERROR(VLOOKUP($G43,[1]DB2!$A:$B,2,0),"공동과책 확인")</f>
        <v>Kim, Hyunno</v>
      </c>
      <c r="P43" s="32" t="s">
        <v>1621</v>
      </c>
      <c r="Q43" s="32" t="s">
        <v>1622</v>
      </c>
      <c r="R43" s="32" t="str">
        <f>IFERROR(VLOOKUP($I43,[1]DB2!$F$2:$I$58,2,0),"옛날 부서명 확인")</f>
        <v xml:space="preserve">Green Economy Division </v>
      </c>
      <c r="S43" s="32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5" t="s">
        <v>267</v>
      </c>
      <c r="B44" s="15" t="s">
        <v>21</v>
      </c>
      <c r="C44" s="15" t="s">
        <v>229</v>
      </c>
      <c r="D44" s="16" t="s">
        <v>230</v>
      </c>
      <c r="E44" s="16"/>
      <c r="F44" s="16" t="s">
        <v>231</v>
      </c>
      <c r="G44" s="15" t="s">
        <v>232</v>
      </c>
      <c r="H44" s="16" t="s">
        <v>146</v>
      </c>
      <c r="I44" s="16" t="s">
        <v>147</v>
      </c>
      <c r="J44" s="17">
        <v>30000000</v>
      </c>
      <c r="K44" s="18">
        <v>45514</v>
      </c>
      <c r="L44" s="18">
        <v>45878</v>
      </c>
      <c r="M44" s="16" t="s">
        <v>233</v>
      </c>
      <c r="N44" s="37" t="s">
        <v>1645</v>
      </c>
      <c r="O44" s="32" t="str">
        <f>IFERROR(VLOOKUP($G44,[1]DB2!$A:$B,2,0),"공동과책 확인")</f>
        <v>Park, Jeonggue</v>
      </c>
      <c r="P44" s="32" t="s">
        <v>1615</v>
      </c>
      <c r="Q44" s="32" t="s">
        <v>1620</v>
      </c>
      <c r="R44" s="32" t="str">
        <f>IFERROR(VLOOKUP($I44,[1]DB2!$F$2:$I$58,2,0),"옛날 부서명 확인")</f>
        <v xml:space="preserve">Environmental Health Division </v>
      </c>
      <c r="S44" s="32" t="str">
        <f>IFERROR(VLOOKUP($I44,[1]DB2!$F$2:$I$58,4,0),"옛날 부서명 확인")</f>
        <v xml:space="preserve">Sustainable Development Research Group  </v>
      </c>
    </row>
    <row r="45" spans="1:19" ht="18" customHeight="1">
      <c r="A45" s="15" t="s">
        <v>270</v>
      </c>
      <c r="B45" s="15" t="s">
        <v>21</v>
      </c>
      <c r="C45" s="15" t="s">
        <v>183</v>
      </c>
      <c r="D45" s="16" t="s">
        <v>184</v>
      </c>
      <c r="E45" s="16"/>
      <c r="F45" s="16" t="s">
        <v>51</v>
      </c>
      <c r="G45" s="15" t="s">
        <v>52</v>
      </c>
      <c r="H45" s="16" t="s">
        <v>26</v>
      </c>
      <c r="I45" s="16" t="s">
        <v>27</v>
      </c>
      <c r="J45" s="17">
        <v>69500000</v>
      </c>
      <c r="K45" s="18">
        <v>45516</v>
      </c>
      <c r="L45" s="18">
        <v>45754</v>
      </c>
      <c r="M45" s="16" t="s">
        <v>47</v>
      </c>
      <c r="N45" s="38" t="s">
        <v>2341</v>
      </c>
      <c r="O45" s="32" t="str">
        <f>IFERROR(VLOOKUP($G45,[1]DB2!$A:$B,2,0),"공동과책 확인")</f>
        <v xml:space="preserve">Koo, Kyung Ah </v>
      </c>
      <c r="P45" s="32" t="s">
        <v>1614</v>
      </c>
      <c r="Q45" s="32" t="s">
        <v>2258</v>
      </c>
      <c r="R45" s="32" t="str">
        <f>IFERROR(VLOOKUP($I45,[1]DB2!$F$2:$I$58,2,0),"옛날 부서명 확인")</f>
        <v xml:space="preserve">Natural Environment Division </v>
      </c>
      <c r="S45" s="32" t="str">
        <f>IFERROR(VLOOKUP($I45,[1]DB2!$F$2:$I$58,4,0),"옛날 부서명 확인")</f>
        <v xml:space="preserve">Land and Environment Research Group </v>
      </c>
    </row>
    <row r="46" spans="1:19" ht="18" customHeight="1">
      <c r="A46" s="15" t="s">
        <v>275</v>
      </c>
      <c r="B46" s="15" t="s">
        <v>21</v>
      </c>
      <c r="C46" s="15" t="s">
        <v>186</v>
      </c>
      <c r="D46" s="16" t="s">
        <v>187</v>
      </c>
      <c r="E46" s="16"/>
      <c r="F46" s="16" t="s">
        <v>188</v>
      </c>
      <c r="G46" s="15" t="s">
        <v>189</v>
      </c>
      <c r="H46" s="16" t="s">
        <v>190</v>
      </c>
      <c r="I46" s="16" t="s">
        <v>191</v>
      </c>
      <c r="J46" s="17">
        <v>78400000</v>
      </c>
      <c r="K46" s="18">
        <v>45527</v>
      </c>
      <c r="L46" s="18">
        <v>45679</v>
      </c>
      <c r="M46" s="16" t="s">
        <v>192</v>
      </c>
      <c r="N46" s="37" t="s">
        <v>1641</v>
      </c>
      <c r="O46" s="32" t="str">
        <f>IFERROR(VLOOKUP($G46,[1]DB2!$A:$B,2,0),"공동과책 확인")</f>
        <v>Gong, Sungyong</v>
      </c>
      <c r="P46" s="32" t="s">
        <v>1616</v>
      </c>
      <c r="Q46" s="32"/>
      <c r="R46" s="32" t="str">
        <f>IFERROR(VLOOKUP($I46,[1]DB2!$F$2:$I$58,2,0),"옛날 부서명 확인")</f>
        <v>Atmospheric Environment Division</v>
      </c>
      <c r="S46" s="32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5" t="s">
        <v>299</v>
      </c>
      <c r="B47" s="15" t="s">
        <v>21</v>
      </c>
      <c r="C47" s="15" t="s">
        <v>194</v>
      </c>
      <c r="D47" s="16" t="s">
        <v>195</v>
      </c>
      <c r="E47" s="16"/>
      <c r="F47" s="16" t="s">
        <v>196</v>
      </c>
      <c r="G47" s="15" t="s">
        <v>197</v>
      </c>
      <c r="H47" s="16" t="s">
        <v>198</v>
      </c>
      <c r="I47" s="16" t="s">
        <v>199</v>
      </c>
      <c r="J47" s="17">
        <v>302181810</v>
      </c>
      <c r="K47" s="18">
        <v>45538</v>
      </c>
      <c r="L47" s="18">
        <v>45988</v>
      </c>
      <c r="M47" s="16" t="s">
        <v>47</v>
      </c>
      <c r="N47" s="37" t="s">
        <v>1642</v>
      </c>
      <c r="O47" s="32" t="str">
        <f>IFERROR(VLOOKUP($G47,[1]DB2!$A:$B,2,0),"공동과책 확인")</f>
        <v>Lee, Moonhwan</v>
      </c>
      <c r="P47" s="32" t="s">
        <v>1617</v>
      </c>
      <c r="Q47" s="32"/>
      <c r="R47" s="32" t="str">
        <f>IFERROR(VLOOKUP($I47,[1]DB2!$F$2:$I$58,2,0),"옛날 부서명 확인")</f>
        <v xml:space="preserve">Water Management Division </v>
      </c>
      <c r="S47" s="32" t="str">
        <f>IFERROR(VLOOKUP($I47,[1]DB2!$F$2:$I$58,4,0),"옛날 부서명 확인")</f>
        <v xml:space="preserve">Land and Environment Research Group </v>
      </c>
    </row>
    <row r="48" spans="1:19" ht="18" customHeight="1">
      <c r="A48" s="15" t="s">
        <v>304</v>
      </c>
      <c r="B48" s="15" t="s">
        <v>21</v>
      </c>
      <c r="C48" s="15" t="s">
        <v>201</v>
      </c>
      <c r="D48" s="16" t="s">
        <v>202</v>
      </c>
      <c r="E48" s="16"/>
      <c r="F48" s="16" t="s">
        <v>158</v>
      </c>
      <c r="G48" s="15" t="s">
        <v>159</v>
      </c>
      <c r="H48" s="16" t="s">
        <v>46</v>
      </c>
      <c r="I48" s="16" t="s">
        <v>594</v>
      </c>
      <c r="J48" s="17">
        <v>151263000</v>
      </c>
      <c r="K48" s="18">
        <v>45555</v>
      </c>
      <c r="L48" s="18">
        <v>45734</v>
      </c>
      <c r="M48" s="16" t="s">
        <v>47</v>
      </c>
      <c r="N48" s="37" t="s">
        <v>2377</v>
      </c>
      <c r="O48" s="32" t="str">
        <f>IFERROR(VLOOKUP($G48,[1]DB2!$A:$B,2,0),"공동과책 확인")</f>
        <v>Park, Chang Sug</v>
      </c>
      <c r="P48" s="32" t="s">
        <v>2256</v>
      </c>
      <c r="Q48" s="32"/>
      <c r="R48" s="32" t="str">
        <f>IFERROR(VLOOKUP($I48,[1]DB2!$F$2:$I$58,2,0),"옛날 부서명 확인")</f>
        <v>Executive Office</v>
      </c>
      <c r="S48" s="32" t="str">
        <f>IFERROR(VLOOKUP($I48,[1]DB2!$F$2:$I$58,4,0),"옛날 부서명 확인")</f>
        <v>Executive Office</v>
      </c>
    </row>
    <row r="49" spans="1:19" ht="18" customHeight="1">
      <c r="A49" s="15" t="s">
        <v>307</v>
      </c>
      <c r="B49" s="15" t="s">
        <v>21</v>
      </c>
      <c r="C49" s="15" t="s">
        <v>204</v>
      </c>
      <c r="D49" s="16" t="s">
        <v>205</v>
      </c>
      <c r="E49" s="16"/>
      <c r="F49" s="16" t="s">
        <v>206</v>
      </c>
      <c r="G49" s="15" t="s">
        <v>207</v>
      </c>
      <c r="H49" s="16" t="s">
        <v>208</v>
      </c>
      <c r="I49" s="16" t="s">
        <v>209</v>
      </c>
      <c r="J49" s="17">
        <v>99000000</v>
      </c>
      <c r="K49" s="18">
        <v>45558</v>
      </c>
      <c r="L49" s="18">
        <v>45891</v>
      </c>
      <c r="M49" s="16" t="s">
        <v>210</v>
      </c>
      <c r="N49" s="37" t="s">
        <v>1643</v>
      </c>
      <c r="O49" s="32" t="s">
        <v>2261</v>
      </c>
      <c r="P49" s="32" t="s">
        <v>2255</v>
      </c>
      <c r="Q49" s="32" t="s">
        <v>1621</v>
      </c>
      <c r="R49" s="32" t="str">
        <f>IFERROR(VLOOKUP($I49,[1]DB2!$F$2:$I$58,2,0),"옛날 부서명 확인")</f>
        <v>Spatial Planning and Management Division</v>
      </c>
      <c r="S49" s="32" t="str">
        <f>IFERROR(VLOOKUP($I49,[1]DB2!$F$2:$I$58,4,0),"옛날 부서명 확인")</f>
        <v xml:space="preserve">Land and Environment Research Group </v>
      </c>
    </row>
    <row r="50" spans="1:19" ht="18" customHeight="1">
      <c r="A50" s="15" t="s">
        <v>310</v>
      </c>
      <c r="B50" s="15" t="s">
        <v>21</v>
      </c>
      <c r="C50" s="15" t="s">
        <v>212</v>
      </c>
      <c r="D50" s="16" t="s">
        <v>213</v>
      </c>
      <c r="E50" s="16"/>
      <c r="F50" s="16" t="s">
        <v>214</v>
      </c>
      <c r="G50" s="15" t="s">
        <v>215</v>
      </c>
      <c r="H50" s="16" t="s">
        <v>198</v>
      </c>
      <c r="I50" s="16" t="s">
        <v>199</v>
      </c>
      <c r="J50" s="17">
        <v>171000000</v>
      </c>
      <c r="K50" s="18">
        <v>45583</v>
      </c>
      <c r="L50" s="18">
        <v>45947</v>
      </c>
      <c r="M50" s="16" t="s">
        <v>47</v>
      </c>
      <c r="N50" s="37" t="s">
        <v>2299</v>
      </c>
      <c r="O50" s="32" t="str">
        <f>IFERROR(VLOOKUP($G50,[1]DB2!$A:$B,2,0),"공동과책 확인")</f>
        <v>Han, Haejin</v>
      </c>
      <c r="P50" s="32" t="s">
        <v>1617</v>
      </c>
      <c r="Q50" s="32"/>
      <c r="R50" s="32" t="str">
        <f>IFERROR(VLOOKUP($I50,[1]DB2!$F$2:$I$58,2,0),"옛날 부서명 확인")</f>
        <v xml:space="preserve">Water Management Division </v>
      </c>
      <c r="S50" s="32" t="str">
        <f>IFERROR(VLOOKUP($I50,[1]DB2!$F$2:$I$58,4,0),"옛날 부서명 확인")</f>
        <v xml:space="preserve">Land and Environment Research Group </v>
      </c>
    </row>
    <row r="51" spans="1:19" ht="18" customHeight="1">
      <c r="A51" s="15" t="s">
        <v>318</v>
      </c>
      <c r="B51" s="15" t="s">
        <v>21</v>
      </c>
      <c r="C51" s="15" t="s">
        <v>217</v>
      </c>
      <c r="D51" s="16" t="s">
        <v>218</v>
      </c>
      <c r="E51" s="16"/>
      <c r="F51" s="16" t="s">
        <v>219</v>
      </c>
      <c r="G51" s="15" t="s">
        <v>220</v>
      </c>
      <c r="H51" s="16" t="s">
        <v>198</v>
      </c>
      <c r="I51" s="16" t="s">
        <v>199</v>
      </c>
      <c r="J51" s="17">
        <v>180000000</v>
      </c>
      <c r="K51" s="18">
        <v>45587</v>
      </c>
      <c r="L51" s="18">
        <v>46008</v>
      </c>
      <c r="M51" s="16" t="s">
        <v>221</v>
      </c>
      <c r="N51" s="37" t="s">
        <v>1644</v>
      </c>
      <c r="O51" s="32" t="str">
        <f>IFERROR(VLOOKUP($G51,[1]DB2!$A:$B,2,0),"공동과책 확인")</f>
        <v>Kim, Hojeong</v>
      </c>
      <c r="P51" s="32" t="s">
        <v>1617</v>
      </c>
      <c r="Q51" s="32" t="s">
        <v>1797</v>
      </c>
      <c r="R51" s="32" t="str">
        <f>IFERROR(VLOOKUP($I51,[1]DB2!$F$2:$I$58,2,0),"옛날 부서명 확인")</f>
        <v xml:space="preserve">Water Management Division </v>
      </c>
      <c r="S51" s="32" t="str">
        <f>IFERROR(VLOOKUP($I51,[1]DB2!$F$2:$I$58,4,0),"옛날 부서명 확인")</f>
        <v xml:space="preserve">Land and Environment Research Group </v>
      </c>
    </row>
    <row r="52" spans="1:19" ht="18" customHeight="1">
      <c r="A52" s="15" t="s">
        <v>322</v>
      </c>
      <c r="B52" s="15" t="s">
        <v>21</v>
      </c>
      <c r="C52" s="15" t="s">
        <v>223</v>
      </c>
      <c r="D52" s="16" t="s">
        <v>224</v>
      </c>
      <c r="E52" s="16"/>
      <c r="F52" s="16" t="s">
        <v>225</v>
      </c>
      <c r="G52" s="15" t="s">
        <v>226</v>
      </c>
      <c r="H52" s="16" t="s">
        <v>146</v>
      </c>
      <c r="I52" s="16" t="s">
        <v>147</v>
      </c>
      <c r="J52" s="17">
        <v>45200000</v>
      </c>
      <c r="K52" s="18">
        <v>45590</v>
      </c>
      <c r="L52" s="18">
        <v>45739</v>
      </c>
      <c r="M52" s="16" t="s">
        <v>227</v>
      </c>
      <c r="N52" s="37" t="s">
        <v>2342</v>
      </c>
      <c r="O52" s="32" t="str">
        <f>IFERROR(VLOOKUP($G52,[1]DB2!$A:$B,2,0),"공동과책 확인")</f>
        <v xml:space="preserve">Jung, Dawoon </v>
      </c>
      <c r="P52" s="32" t="s">
        <v>1615</v>
      </c>
      <c r="Q52" s="32"/>
      <c r="R52" s="32" t="str">
        <f>IFERROR(VLOOKUP($I52,[1]DB2!$F$2:$I$58,2,0),"옛날 부서명 확인")</f>
        <v xml:space="preserve">Environmental Health Division </v>
      </c>
      <c r="S52" s="32" t="str">
        <f>IFERROR(VLOOKUP($I52,[1]DB2!$F$2:$I$58,4,0),"옛날 부서명 확인")</f>
        <v xml:space="preserve">Sustainable Development Research Group  </v>
      </c>
    </row>
    <row r="53" spans="1:19" ht="18" customHeight="1">
      <c r="A53" s="15" t="s">
        <v>329</v>
      </c>
      <c r="B53" s="15" t="s">
        <v>953</v>
      </c>
      <c r="C53" s="15" t="s">
        <v>954</v>
      </c>
      <c r="D53" s="16" t="s">
        <v>955</v>
      </c>
      <c r="E53" s="16"/>
      <c r="F53" s="16" t="s">
        <v>656</v>
      </c>
      <c r="G53" s="15" t="s">
        <v>657</v>
      </c>
      <c r="H53" s="16" t="s">
        <v>732</v>
      </c>
      <c r="I53" s="16" t="s">
        <v>2120</v>
      </c>
      <c r="J53" s="17">
        <v>15000000</v>
      </c>
      <c r="K53" s="18">
        <v>45597</v>
      </c>
      <c r="L53" s="18">
        <v>45777</v>
      </c>
      <c r="M53" s="16"/>
      <c r="N53" s="37" t="s">
        <v>2121</v>
      </c>
      <c r="O53" s="32" t="str">
        <f>IFERROR(VLOOKUP($G53,[1]DB2!$A:$B,2,0),"공동과책 확인")</f>
        <v xml:space="preserve">Ju, Munsol </v>
      </c>
      <c r="P53" s="32" t="s">
        <v>2157</v>
      </c>
      <c r="Q53" s="32" t="s">
        <v>2158</v>
      </c>
      <c r="R53" s="32" t="str">
        <f>IFERROR(VLOOKUP($I53,[1]DB2!$F$2:$I$58,2,0),"옛날 부서명 확인")</f>
        <v xml:space="preserve">Circular Economy Division </v>
      </c>
      <c r="S53" s="32" t="str">
        <f>IFERROR(VLOOKUP($I53,[1]DB2!$F$2:$I$58,4,0),"옛날 부서명 확인")</f>
        <v xml:space="preserve">Sustainable Development Research Group  </v>
      </c>
    </row>
    <row r="54" spans="1:19" ht="18" customHeight="1">
      <c r="A54" s="15" t="s">
        <v>335</v>
      </c>
      <c r="B54" s="15" t="s">
        <v>953</v>
      </c>
      <c r="C54" s="15" t="s">
        <v>956</v>
      </c>
      <c r="D54" s="16" t="s">
        <v>957</v>
      </c>
      <c r="E54" s="16"/>
      <c r="F54" s="16" t="s">
        <v>552</v>
      </c>
      <c r="G54" s="15" t="s">
        <v>553</v>
      </c>
      <c r="H54" s="16" t="s">
        <v>93</v>
      </c>
      <c r="I54" s="16" t="s">
        <v>2118</v>
      </c>
      <c r="J54" s="17">
        <v>15000000</v>
      </c>
      <c r="K54" s="18">
        <v>45597</v>
      </c>
      <c r="L54" s="18">
        <v>45777</v>
      </c>
      <c r="M54" s="16"/>
      <c r="N54" s="37" t="s">
        <v>2122</v>
      </c>
      <c r="O54" s="32" t="str">
        <f>IFERROR(VLOOKUP($G54,[1]DB2!$A:$B,2,0),"공동과책 확인")</f>
        <v xml:space="preserve">Oh, Myoungjin </v>
      </c>
      <c r="P54" s="32" t="s">
        <v>1801</v>
      </c>
      <c r="Q54" s="32"/>
      <c r="R54" s="32" t="str">
        <f>IFERROR(VLOOKUP($I54,[1]DB2!$F$2:$I$58,2,0),"옛날 부서명 확인")</f>
        <v xml:space="preserve">Water Management Division </v>
      </c>
      <c r="S54" s="32" t="str">
        <f>IFERROR(VLOOKUP($I54,[1]DB2!$F$2:$I$58,4,0),"옛날 부서명 확인")</f>
        <v xml:space="preserve">Land and Environment Research Group </v>
      </c>
    </row>
    <row r="55" spans="1:19" ht="18" customHeight="1">
      <c r="A55" s="15" t="s">
        <v>339</v>
      </c>
      <c r="B55" s="15" t="s">
        <v>21</v>
      </c>
      <c r="C55" s="15" t="s">
        <v>239</v>
      </c>
      <c r="D55" s="16" t="s">
        <v>240</v>
      </c>
      <c r="E55" s="16"/>
      <c r="F55" s="16" t="s">
        <v>241</v>
      </c>
      <c r="G55" s="15" t="s">
        <v>242</v>
      </c>
      <c r="H55" s="16" t="s">
        <v>243</v>
      </c>
      <c r="I55" s="16" t="s">
        <v>147</v>
      </c>
      <c r="J55" s="17">
        <v>98000000</v>
      </c>
      <c r="K55" s="18">
        <v>45600</v>
      </c>
      <c r="L55" s="18">
        <v>45965</v>
      </c>
      <c r="M55" s="16" t="s">
        <v>192</v>
      </c>
      <c r="N55" s="37" t="s">
        <v>1647</v>
      </c>
      <c r="O55" s="32" t="str">
        <f>IFERROR(VLOOKUP($G55,[1]DB2!$A:$B,2,0),"공동과책 확인")</f>
        <v>Bae, Hyun-Joo</v>
      </c>
      <c r="P55" s="32" t="s">
        <v>1615</v>
      </c>
      <c r="Q55" s="32" t="s">
        <v>1616</v>
      </c>
      <c r="R55" s="32" t="str">
        <f>IFERROR(VLOOKUP($I55,[1]DB2!$F$2:$I$58,2,0),"옛날 부서명 확인")</f>
        <v xml:space="preserve">Environmental Health Division </v>
      </c>
      <c r="S55" s="32" t="str">
        <f>IFERROR(VLOOKUP($I55,[1]DB2!$F$2:$I$58,4,0),"옛날 부서명 확인")</f>
        <v xml:space="preserve">Sustainable Development Research Group  </v>
      </c>
    </row>
    <row r="56" spans="1:19" ht="18" customHeight="1">
      <c r="A56" s="15" t="s">
        <v>345</v>
      </c>
      <c r="B56" s="15" t="s">
        <v>21</v>
      </c>
      <c r="C56" s="15" t="s">
        <v>234</v>
      </c>
      <c r="D56" s="16" t="s">
        <v>235</v>
      </c>
      <c r="E56" s="16"/>
      <c r="F56" s="16" t="s">
        <v>236</v>
      </c>
      <c r="G56" s="15" t="s">
        <v>237</v>
      </c>
      <c r="H56" s="16" t="s">
        <v>208</v>
      </c>
      <c r="I56" s="16" t="s">
        <v>209</v>
      </c>
      <c r="J56" s="17">
        <v>99000000</v>
      </c>
      <c r="K56" s="18">
        <v>45601</v>
      </c>
      <c r="L56" s="18">
        <v>45898</v>
      </c>
      <c r="M56" s="16" t="s">
        <v>47</v>
      </c>
      <c r="N56" s="37" t="s">
        <v>1646</v>
      </c>
      <c r="O56" s="32" t="str">
        <f>IFERROR(VLOOKUP($G56,[1]DB2!$A:$B,2,0),"공동과책 확인")</f>
        <v>Choi, Hee-Sun</v>
      </c>
      <c r="P56" s="32" t="s">
        <v>2256</v>
      </c>
      <c r="Q56" s="32" t="s">
        <v>1614</v>
      </c>
      <c r="R56" s="32" t="str">
        <f>IFERROR(VLOOKUP($I56,[1]DB2!$F$2:$I$58,2,0),"옛날 부서명 확인")</f>
        <v>Spatial Planning and Management Division</v>
      </c>
      <c r="S56" s="32" t="str">
        <f>IFERROR(VLOOKUP($I56,[1]DB2!$F$2:$I$58,4,0),"옛날 부서명 확인")</f>
        <v xml:space="preserve">Land and Environment Research Group </v>
      </c>
    </row>
    <row r="57" spans="1:19" ht="18" customHeight="1">
      <c r="A57" s="15" t="s">
        <v>351</v>
      </c>
      <c r="B57" s="15" t="s">
        <v>21</v>
      </c>
      <c r="C57" s="15" t="s">
        <v>245</v>
      </c>
      <c r="D57" s="16" t="s">
        <v>246</v>
      </c>
      <c r="E57" s="16"/>
      <c r="F57" s="16" t="s">
        <v>247</v>
      </c>
      <c r="G57" s="15" t="s">
        <v>248</v>
      </c>
      <c r="H57" s="16" t="s">
        <v>87</v>
      </c>
      <c r="I57" s="16" t="s">
        <v>395</v>
      </c>
      <c r="J57" s="17">
        <v>20000000</v>
      </c>
      <c r="K57" s="18">
        <v>45609</v>
      </c>
      <c r="L57" s="18">
        <v>45698</v>
      </c>
      <c r="M57" s="16" t="s">
        <v>47</v>
      </c>
      <c r="N57" s="37" t="s">
        <v>1648</v>
      </c>
      <c r="O57" s="32" t="str">
        <f>IFERROR(VLOOKUP($G57,[1]DB2!$A:$B,2,0),"공동과책 확인")</f>
        <v xml:space="preserve">Yang, Kyung </v>
      </c>
      <c r="P57" s="32" t="s">
        <v>1618</v>
      </c>
      <c r="Q57" s="32"/>
      <c r="R57" s="32" t="str">
        <f>IFERROR(VLOOKUP($I57,[1]DB2!$F$2:$I$58,2,0),"옛날 부서명 확인")</f>
        <v xml:space="preserve">Climate and Energy Assessment Division </v>
      </c>
      <c r="S57" s="32" t="str">
        <f>IFERROR(VLOOKUP($I57,[1]DB2!$F$2:$I$58,4,0),"옛날 부서명 확인")</f>
        <v xml:space="preserve">Environmental Assessment Group </v>
      </c>
    </row>
    <row r="58" spans="1:19" ht="18" customHeight="1">
      <c r="A58" s="15" t="s">
        <v>355</v>
      </c>
      <c r="B58" s="15" t="s">
        <v>21</v>
      </c>
      <c r="C58" s="15" t="s">
        <v>250</v>
      </c>
      <c r="D58" s="16" t="s">
        <v>251</v>
      </c>
      <c r="E58" s="16"/>
      <c r="F58" s="16" t="s">
        <v>252</v>
      </c>
      <c r="G58" s="15" t="s">
        <v>253</v>
      </c>
      <c r="H58" s="16" t="s">
        <v>254</v>
      </c>
      <c r="I58" s="16" t="s">
        <v>255</v>
      </c>
      <c r="J58" s="17">
        <v>175454540</v>
      </c>
      <c r="K58" s="18">
        <v>45618</v>
      </c>
      <c r="L58" s="18">
        <v>45961</v>
      </c>
      <c r="M58" s="16" t="s">
        <v>256</v>
      </c>
      <c r="N58" s="37" t="s">
        <v>2343</v>
      </c>
      <c r="O58" s="32" t="str">
        <f>IFERROR(VLOOKUP($G58,[1]DB2!$A:$B,2,0),"공동과책 확인")</f>
        <v>Shin, Sang-Cheol</v>
      </c>
      <c r="P58" s="32" t="s">
        <v>1615</v>
      </c>
      <c r="Q58" s="32"/>
      <c r="R58" s="32" t="str">
        <f>IFERROR(VLOOKUP($I58,[1]DB2!$F$2:$I$58,2,0),"옛날 부서명 확인")</f>
        <v xml:space="preserve">Circular Economy Division </v>
      </c>
      <c r="S58" s="32" t="str">
        <f>IFERROR(VLOOKUP($I58,[1]DB2!$F$2:$I$58,4,0),"옛날 부서명 확인")</f>
        <v xml:space="preserve">Sustainable Development Research Group  </v>
      </c>
    </row>
    <row r="59" spans="1:19" ht="18" customHeight="1">
      <c r="A59" s="15" t="s">
        <v>358</v>
      </c>
      <c r="B59" s="15" t="s">
        <v>21</v>
      </c>
      <c r="C59" s="15" t="s">
        <v>258</v>
      </c>
      <c r="D59" s="16" t="s">
        <v>259</v>
      </c>
      <c r="E59" s="16"/>
      <c r="F59" s="16" t="s">
        <v>260</v>
      </c>
      <c r="G59" s="15" t="s">
        <v>261</v>
      </c>
      <c r="H59" s="16" t="s">
        <v>254</v>
      </c>
      <c r="I59" s="16" t="s">
        <v>255</v>
      </c>
      <c r="J59" s="17">
        <v>135714150</v>
      </c>
      <c r="K59" s="18">
        <v>45625</v>
      </c>
      <c r="L59" s="18">
        <v>45930</v>
      </c>
      <c r="M59" s="16" t="s">
        <v>262</v>
      </c>
      <c r="N59" s="37" t="s">
        <v>1649</v>
      </c>
      <c r="O59" s="32" t="str">
        <f>IFERROR(VLOOKUP($G59,[1]DB2!$A:$B,2,0),"공동과책 확인")</f>
        <v xml:space="preserve">Yi, Sora </v>
      </c>
      <c r="P59" s="32" t="s">
        <v>1613</v>
      </c>
      <c r="Q59" s="32" t="s">
        <v>2258</v>
      </c>
      <c r="R59" s="32" t="str">
        <f>IFERROR(VLOOKUP($I59,[1]DB2!$F$2:$I$58,2,0),"옛날 부서명 확인")</f>
        <v xml:space="preserve">Circular Economy Division </v>
      </c>
      <c r="S59" s="32" t="str">
        <f>IFERROR(VLOOKUP($I59,[1]DB2!$F$2:$I$58,4,0),"옛날 부서명 확인")</f>
        <v xml:space="preserve">Sustainable Development Research Group  </v>
      </c>
    </row>
    <row r="60" spans="1:19" ht="18" customHeight="1">
      <c r="A60" s="15" t="s">
        <v>363</v>
      </c>
      <c r="B60" s="15" t="s">
        <v>21</v>
      </c>
      <c r="C60" s="15" t="s">
        <v>264</v>
      </c>
      <c r="D60" s="16" t="s">
        <v>265</v>
      </c>
      <c r="E60" s="16"/>
      <c r="F60" s="16" t="s">
        <v>121</v>
      </c>
      <c r="G60" s="15" t="s">
        <v>122</v>
      </c>
      <c r="H60" s="16" t="s">
        <v>123</v>
      </c>
      <c r="I60" s="16" t="s">
        <v>124</v>
      </c>
      <c r="J60" s="17">
        <v>45454540</v>
      </c>
      <c r="K60" s="18">
        <v>45625</v>
      </c>
      <c r="L60" s="18">
        <v>45684</v>
      </c>
      <c r="M60" s="16" t="s">
        <v>266</v>
      </c>
      <c r="N60" s="37" t="s">
        <v>1650</v>
      </c>
      <c r="O60" s="32" t="str">
        <f>IFERROR(VLOOKUP($G60,[1]DB2!$A:$B,2,0),"공동과책 확인")</f>
        <v>Kim, Sungjin</v>
      </c>
      <c r="P60" s="32" t="s">
        <v>2255</v>
      </c>
      <c r="Q60" s="32"/>
      <c r="R60" s="32" t="str">
        <f>IFERROR(VLOOKUP($I60,[1]DB2!$F$2:$I$58,2,0),"옛날 부서명 확인")</f>
        <v xml:space="preserve">Carbon Neutrality Division </v>
      </c>
      <c r="S60" s="32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5" t="s">
        <v>384</v>
      </c>
      <c r="B61" s="15" t="s">
        <v>21</v>
      </c>
      <c r="C61" s="15" t="s">
        <v>268</v>
      </c>
      <c r="D61" s="16" t="s">
        <v>269</v>
      </c>
      <c r="E61" s="16"/>
      <c r="F61" s="16" t="s">
        <v>129</v>
      </c>
      <c r="G61" s="15" t="s">
        <v>130</v>
      </c>
      <c r="H61" s="16" t="s">
        <v>93</v>
      </c>
      <c r="I61" s="16" t="s">
        <v>199</v>
      </c>
      <c r="J61" s="17">
        <v>90909090</v>
      </c>
      <c r="K61" s="18">
        <v>45630</v>
      </c>
      <c r="L61" s="18">
        <v>45869</v>
      </c>
      <c r="M61" s="16" t="s">
        <v>47</v>
      </c>
      <c r="N61" s="37" t="s">
        <v>1651</v>
      </c>
      <c r="O61" s="32" t="str">
        <f>IFERROR(VLOOKUP($G61,[1]DB2!$A:$B,2,0),"공동과책 확인")</f>
        <v>Han, Daeho</v>
      </c>
      <c r="P61" s="32" t="s">
        <v>1622</v>
      </c>
      <c r="Q61" s="32" t="s">
        <v>2256</v>
      </c>
      <c r="R61" s="32" t="str">
        <f>IFERROR(VLOOKUP($I61,[1]DB2!$F$2:$I$58,2,0),"옛날 부서명 확인")</f>
        <v xml:space="preserve">Water Management Division </v>
      </c>
      <c r="S61" s="32" t="str">
        <f>IFERROR(VLOOKUP($I61,[1]DB2!$F$2:$I$58,4,0),"옛날 부서명 확인")</f>
        <v xml:space="preserve">Land and Environment Research Group </v>
      </c>
    </row>
    <row r="62" spans="1:19" ht="18" customHeight="1">
      <c r="A62" s="15" t="s">
        <v>388</v>
      </c>
      <c r="B62" s="15" t="s">
        <v>21</v>
      </c>
      <c r="C62" s="15" t="s">
        <v>271</v>
      </c>
      <c r="D62" s="16" t="s">
        <v>272</v>
      </c>
      <c r="E62" s="16"/>
      <c r="F62" s="16" t="s">
        <v>273</v>
      </c>
      <c r="G62" s="15" t="s">
        <v>274</v>
      </c>
      <c r="H62" s="16" t="s">
        <v>93</v>
      </c>
      <c r="I62" s="16" t="s">
        <v>199</v>
      </c>
      <c r="J62" s="17">
        <v>44180000</v>
      </c>
      <c r="K62" s="18">
        <v>45632</v>
      </c>
      <c r="L62" s="18">
        <v>45751</v>
      </c>
      <c r="M62" s="16" t="s">
        <v>47</v>
      </c>
      <c r="N62" s="37" t="s">
        <v>1652</v>
      </c>
      <c r="O62" s="32" t="str">
        <f>IFERROR(VLOOKUP($G62,[1]DB2!$A:$B,2,0),"공동과책 확인")</f>
        <v>Jeon, Dongjin</v>
      </c>
      <c r="P62" s="32" t="s">
        <v>1617</v>
      </c>
      <c r="Q62" s="32" t="s">
        <v>2257</v>
      </c>
      <c r="R62" s="32" t="str">
        <f>IFERROR(VLOOKUP($I62,[1]DB2!$F$2:$I$58,2,0),"옛날 부서명 확인")</f>
        <v xml:space="preserve">Water Management Division </v>
      </c>
      <c r="S62" s="32" t="str">
        <f>IFERROR(VLOOKUP($I62,[1]DB2!$F$2:$I$58,4,0),"옛날 부서명 확인")</f>
        <v xml:space="preserve">Land and Environment Research Group </v>
      </c>
    </row>
    <row r="63" spans="1:19" ht="18" customHeight="1">
      <c r="A63" s="15" t="s">
        <v>391</v>
      </c>
      <c r="B63" s="15" t="s">
        <v>21</v>
      </c>
      <c r="C63" s="15" t="s">
        <v>276</v>
      </c>
      <c r="D63" s="16" t="s">
        <v>277</v>
      </c>
      <c r="E63" s="16"/>
      <c r="F63" s="16" t="s">
        <v>278</v>
      </c>
      <c r="G63" s="15" t="s">
        <v>279</v>
      </c>
      <c r="H63" s="16" t="s">
        <v>198</v>
      </c>
      <c r="I63" s="16" t="s">
        <v>199</v>
      </c>
      <c r="J63" s="17">
        <v>89200000</v>
      </c>
      <c r="K63" s="18">
        <v>45635</v>
      </c>
      <c r="L63" s="18">
        <v>45904</v>
      </c>
      <c r="M63" s="16" t="s">
        <v>47</v>
      </c>
      <c r="N63" s="37" t="s">
        <v>1653</v>
      </c>
      <c r="O63" s="32" t="str">
        <f>IFERROR(VLOOKUP($G63,[1]DB2!$A:$B,2,0),"공동과책 확인")</f>
        <v>Ryu, Jaena</v>
      </c>
      <c r="P63" s="32" t="s">
        <v>1617</v>
      </c>
      <c r="Q63" s="32"/>
      <c r="R63" s="32" t="str">
        <f>IFERROR(VLOOKUP($I63,[1]DB2!$F$2:$I$58,2,0),"옛날 부서명 확인")</f>
        <v xml:space="preserve">Water Management Division </v>
      </c>
      <c r="S63" s="32" t="str">
        <f>IFERROR(VLOOKUP($I63,[1]DB2!$F$2:$I$58,4,0),"옛날 부서명 확인")</f>
        <v xml:space="preserve">Land and Environment Research Group </v>
      </c>
    </row>
    <row r="64" spans="1:19" ht="18" customHeight="1">
      <c r="A64" s="15" t="s">
        <v>396</v>
      </c>
      <c r="B64" s="15" t="s">
        <v>21</v>
      </c>
      <c r="C64" s="15" t="s">
        <v>280</v>
      </c>
      <c r="D64" s="16" t="s">
        <v>281</v>
      </c>
      <c r="E64" s="16"/>
      <c r="F64" s="16" t="s">
        <v>278</v>
      </c>
      <c r="G64" s="15" t="s">
        <v>279</v>
      </c>
      <c r="H64" s="16" t="s">
        <v>198</v>
      </c>
      <c r="I64" s="16" t="s">
        <v>199</v>
      </c>
      <c r="J64" s="17">
        <v>81000000</v>
      </c>
      <c r="K64" s="18">
        <v>45636</v>
      </c>
      <c r="L64" s="18">
        <v>45995</v>
      </c>
      <c r="M64" s="16" t="s">
        <v>47</v>
      </c>
      <c r="N64" s="37" t="s">
        <v>1654</v>
      </c>
      <c r="O64" s="32" t="str">
        <f>IFERROR(VLOOKUP($G64,[1]DB2!$A:$B,2,0),"공동과책 확인")</f>
        <v>Ryu, Jaena</v>
      </c>
      <c r="P64" s="32" t="s">
        <v>1617</v>
      </c>
      <c r="Q64" s="32" t="s">
        <v>2158</v>
      </c>
      <c r="R64" s="32" t="str">
        <f>IFERROR(VLOOKUP($I64,[1]DB2!$F$2:$I$58,2,0),"옛날 부서명 확인")</f>
        <v xml:space="preserve">Water Management Division </v>
      </c>
      <c r="S64" s="32" t="str">
        <f>IFERROR(VLOOKUP($I64,[1]DB2!$F$2:$I$58,4,0),"옛날 부서명 확인")</f>
        <v xml:space="preserve">Land and Environment Research Group </v>
      </c>
    </row>
    <row r="65" spans="1:19" ht="18" customHeight="1">
      <c r="A65" s="15" t="s">
        <v>401</v>
      </c>
      <c r="B65" s="15" t="s">
        <v>21</v>
      </c>
      <c r="C65" s="15" t="s">
        <v>282</v>
      </c>
      <c r="D65" s="16" t="s">
        <v>283</v>
      </c>
      <c r="E65" s="16"/>
      <c r="F65" s="16" t="s">
        <v>284</v>
      </c>
      <c r="G65" s="15" t="s">
        <v>285</v>
      </c>
      <c r="H65" s="16" t="s">
        <v>38</v>
      </c>
      <c r="I65" s="16" t="s">
        <v>39</v>
      </c>
      <c r="J65" s="17">
        <v>124727270</v>
      </c>
      <c r="K65" s="18">
        <v>45644</v>
      </c>
      <c r="L65" s="18">
        <v>45961</v>
      </c>
      <c r="M65" s="16" t="s">
        <v>286</v>
      </c>
      <c r="N65" s="37" t="s">
        <v>1655</v>
      </c>
      <c r="O65" s="32" t="str">
        <f>IFERROR(VLOOKUP($G65,[1]DB2!$A:$B,2,0),"공동과책 확인")</f>
        <v>Chung, Woo Hyun</v>
      </c>
      <c r="P65" s="32" t="s">
        <v>2259</v>
      </c>
      <c r="Q65" s="32"/>
      <c r="R65" s="32" t="str">
        <f>IFERROR(VLOOKUP($I65,[1]DB2!$F$2:$I$58,2,0),"옛날 부서명 확인")</f>
        <v xml:space="preserve">Living Environment and Society Division </v>
      </c>
      <c r="S65" s="32" t="str">
        <f>IFERROR(VLOOKUP($I65,[1]DB2!$F$2:$I$58,4,0),"옛날 부서명 확인")</f>
        <v xml:space="preserve">Sustainable Development Research Group  </v>
      </c>
    </row>
    <row r="66" spans="1:19" ht="18" customHeight="1">
      <c r="A66" s="15" t="s">
        <v>411</v>
      </c>
      <c r="B66" s="15" t="s">
        <v>21</v>
      </c>
      <c r="C66" s="15" t="s">
        <v>293</v>
      </c>
      <c r="D66" s="16" t="s">
        <v>294</v>
      </c>
      <c r="E66" s="16"/>
      <c r="F66" s="16" t="s">
        <v>295</v>
      </c>
      <c r="G66" s="15" t="s">
        <v>296</v>
      </c>
      <c r="H66" s="16" t="s">
        <v>297</v>
      </c>
      <c r="I66" s="16" t="s">
        <v>66</v>
      </c>
      <c r="J66" s="17">
        <v>640000000</v>
      </c>
      <c r="K66" s="18">
        <v>45658</v>
      </c>
      <c r="L66" s="18">
        <v>46022</v>
      </c>
      <c r="M66" s="16" t="s">
        <v>292</v>
      </c>
      <c r="N66" s="37" t="s">
        <v>2291</v>
      </c>
      <c r="O66" s="32" t="str">
        <f>IFERROR(VLOOKUP($G66,[1]DB2!$A:$B,2,0),"공동과책 확인")</f>
        <v>Shin, Jiyoung</v>
      </c>
      <c r="P66" s="32" t="s">
        <v>1619</v>
      </c>
      <c r="Q66" s="32"/>
      <c r="R66" s="32" t="str">
        <f>IFERROR(VLOOKUP($I66,[1]DB2!$F$2:$I$58,2,0),"옛날 부서명 확인")</f>
        <v>Performance Management Team</v>
      </c>
      <c r="S66" s="32" t="str">
        <f>IFERROR(VLOOKUP($I66,[1]DB2!$F$2:$I$58,4,0),"옛날 부서명 확인")</f>
        <v xml:space="preserve">Department of Planning and Strategy </v>
      </c>
    </row>
    <row r="67" spans="1:19" ht="18" customHeight="1">
      <c r="A67" s="15" t="s">
        <v>414</v>
      </c>
      <c r="B67" s="15" t="s">
        <v>21</v>
      </c>
      <c r="C67" s="15" t="s">
        <v>300</v>
      </c>
      <c r="D67" s="16" t="s">
        <v>301</v>
      </c>
      <c r="E67" s="16"/>
      <c r="F67" s="16" t="s">
        <v>302</v>
      </c>
      <c r="G67" s="15" t="s">
        <v>303</v>
      </c>
      <c r="H67" s="16" t="s">
        <v>297</v>
      </c>
      <c r="I67" s="16" t="s">
        <v>298</v>
      </c>
      <c r="J67" s="17">
        <v>980000000</v>
      </c>
      <c r="K67" s="18">
        <v>45658</v>
      </c>
      <c r="L67" s="18">
        <v>46022</v>
      </c>
      <c r="M67" s="16" t="s">
        <v>292</v>
      </c>
      <c r="N67" s="37" t="s">
        <v>1656</v>
      </c>
      <c r="O67" s="32" t="str">
        <f>IFERROR(VLOOKUP($G67,[1]DB2!$A:$B,2,0),"공동과책 확인")</f>
        <v>Park, Jin-han</v>
      </c>
      <c r="P67" s="32" t="s">
        <v>1619</v>
      </c>
      <c r="Q67" s="32" t="s">
        <v>1622</v>
      </c>
      <c r="R67" s="32" t="str">
        <f>IFERROR(VLOOKUP($I67,[1]DB2!$F$2:$I$58,2,0),"옛날 부서명 확인")</f>
        <v xml:space="preserve">Climate Adaptation Policy Division </v>
      </c>
      <c r="S67" s="32" t="str">
        <f>IFERROR(VLOOKUP($I67,[1]DB2!$F$2:$I$58,4,0),"옛날 부서명 확인")</f>
        <v xml:space="preserve">Korea Adaptation Center for Climate Change </v>
      </c>
    </row>
    <row r="68" spans="1:19" ht="18" customHeight="1">
      <c r="A68" s="15" t="s">
        <v>417</v>
      </c>
      <c r="B68" s="15" t="s">
        <v>21</v>
      </c>
      <c r="C68" s="15" t="s">
        <v>305</v>
      </c>
      <c r="D68" s="16" t="s">
        <v>306</v>
      </c>
      <c r="E68" s="16"/>
      <c r="F68" s="16" t="s">
        <v>70</v>
      </c>
      <c r="G68" s="15" t="s">
        <v>71</v>
      </c>
      <c r="H68" s="16" t="s">
        <v>72</v>
      </c>
      <c r="I68" s="16" t="s">
        <v>73</v>
      </c>
      <c r="J68" s="17">
        <v>640000000</v>
      </c>
      <c r="K68" s="18">
        <v>45658</v>
      </c>
      <c r="L68" s="18">
        <v>46022</v>
      </c>
      <c r="M68" s="16" t="s">
        <v>292</v>
      </c>
      <c r="N68" s="37" t="s">
        <v>2344</v>
      </c>
      <c r="O68" s="32" t="str">
        <f>IFERROR(VLOOKUP($G68,[1]DB2!$A:$B,2,0),"공동과책 확인")</f>
        <v>Cho, Hanna</v>
      </c>
      <c r="P68" s="32" t="s">
        <v>1619</v>
      </c>
      <c r="Q68" s="32" t="s">
        <v>2158</v>
      </c>
      <c r="R68" s="32" t="str">
        <f>IFERROR(VLOOKUP($I68,[1]DB2!$F$2:$I$58,2,0),"옛날 부서명 확인")</f>
        <v xml:space="preserve">Climate Adaptation Cooperation Division </v>
      </c>
      <c r="S68" s="32" t="str">
        <f>IFERROR(VLOOKUP($I68,[1]DB2!$F$2:$I$58,4,0),"옛날 부서명 확인")</f>
        <v xml:space="preserve">Korea Adaptation Center for Climate Change </v>
      </c>
    </row>
    <row r="69" spans="1:19" ht="18" customHeight="1">
      <c r="A69" s="15" t="s">
        <v>422</v>
      </c>
      <c r="B69" s="15" t="s">
        <v>21</v>
      </c>
      <c r="C69" s="15" t="s">
        <v>308</v>
      </c>
      <c r="D69" s="16" t="s">
        <v>309</v>
      </c>
      <c r="E69" s="16"/>
      <c r="F69" s="16" t="s">
        <v>70</v>
      </c>
      <c r="G69" s="15" t="s">
        <v>71</v>
      </c>
      <c r="H69" s="16" t="s">
        <v>72</v>
      </c>
      <c r="I69" s="16" t="s">
        <v>298</v>
      </c>
      <c r="J69" s="17">
        <v>670000000</v>
      </c>
      <c r="K69" s="18">
        <v>45658</v>
      </c>
      <c r="L69" s="18">
        <v>46022</v>
      </c>
      <c r="M69" s="16" t="s">
        <v>292</v>
      </c>
      <c r="N69" s="37" t="s">
        <v>1657</v>
      </c>
      <c r="O69" s="32" t="str">
        <f>IFERROR(VLOOKUP($G69,[1]DB2!$A:$B,2,0),"공동과책 확인")</f>
        <v>Cho, Hanna</v>
      </c>
      <c r="P69" s="32" t="s">
        <v>1619</v>
      </c>
      <c r="Q69" s="32" t="s">
        <v>2258</v>
      </c>
      <c r="R69" s="32" t="str">
        <f>IFERROR(VLOOKUP($I69,[1]DB2!$F$2:$I$58,2,0),"옛날 부서명 확인")</f>
        <v xml:space="preserve">Climate Adaptation Policy Division </v>
      </c>
      <c r="S69" s="32" t="str">
        <f>IFERROR(VLOOKUP($I69,[1]DB2!$F$2:$I$58,4,0),"옛날 부서명 확인")</f>
        <v xml:space="preserve">Korea Adaptation Center for Climate Change </v>
      </c>
    </row>
    <row r="70" spans="1:19" ht="18" customHeight="1">
      <c r="A70" s="15" t="s">
        <v>426</v>
      </c>
      <c r="B70" s="15" t="s">
        <v>21</v>
      </c>
      <c r="C70" s="15" t="s">
        <v>311</v>
      </c>
      <c r="D70" s="16" t="s">
        <v>312</v>
      </c>
      <c r="E70" s="16"/>
      <c r="F70" s="16" t="s">
        <v>288</v>
      </c>
      <c r="G70" s="15" t="s">
        <v>289</v>
      </c>
      <c r="H70" s="16" t="s">
        <v>290</v>
      </c>
      <c r="I70" s="16" t="s">
        <v>291</v>
      </c>
      <c r="J70" s="17">
        <v>165000000</v>
      </c>
      <c r="K70" s="18">
        <v>45658</v>
      </c>
      <c r="L70" s="18">
        <v>46022</v>
      </c>
      <c r="M70" s="16" t="s">
        <v>292</v>
      </c>
      <c r="N70" s="37" t="s">
        <v>1658</v>
      </c>
      <c r="O70" s="32" t="str">
        <f>IFERROR(VLOOKUP($G70,[1]DB2!$A:$B,2,0),"공동과책 확인")</f>
        <v>Jung, Huicheul</v>
      </c>
      <c r="P70" s="32" t="s">
        <v>1619</v>
      </c>
      <c r="Q70" s="32"/>
      <c r="R70" s="32" t="str">
        <f>IFERROR(VLOOKUP($I70,[1]DB2!$F$2:$I$58,2,0),"옛날 부서명 확인")</f>
        <v xml:space="preserve">Korea Adaptation Center for Climate Change </v>
      </c>
      <c r="S70" s="32" t="str">
        <f>IFERROR(VLOOKUP($I70,[1]DB2!$F$2:$I$58,4,0),"옛날 부서명 확인")</f>
        <v xml:space="preserve">Korea Adaptation Center for Climate Change </v>
      </c>
    </row>
    <row r="71" spans="1:19" ht="18" customHeight="1">
      <c r="A71" s="15" t="s">
        <v>431</v>
      </c>
      <c r="B71" s="15" t="s">
        <v>21</v>
      </c>
      <c r="C71" s="15" t="s">
        <v>313</v>
      </c>
      <c r="D71" s="16" t="s">
        <v>314</v>
      </c>
      <c r="E71" s="16"/>
      <c r="F71" s="16" t="s">
        <v>315</v>
      </c>
      <c r="G71" s="15" t="s">
        <v>316</v>
      </c>
      <c r="H71" s="16" t="s">
        <v>198</v>
      </c>
      <c r="I71" s="16" t="s">
        <v>199</v>
      </c>
      <c r="J71" s="17">
        <v>301550000</v>
      </c>
      <c r="K71" s="18">
        <v>45658</v>
      </c>
      <c r="L71" s="18">
        <v>46022</v>
      </c>
      <c r="M71" s="16" t="s">
        <v>317</v>
      </c>
      <c r="N71" s="37" t="s">
        <v>1659</v>
      </c>
      <c r="O71" s="32" t="str">
        <f>IFERROR(VLOOKUP($G71,[1]DB2!$A:$B,2,0),"공동과책 확인")</f>
        <v xml:space="preserve">Lee, Seungsoo </v>
      </c>
      <c r="P71" s="32" t="s">
        <v>1617</v>
      </c>
      <c r="Q71" s="32"/>
      <c r="R71" s="32" t="str">
        <f>IFERROR(VLOOKUP($I71,[1]DB2!$F$2:$I$58,2,0),"옛날 부서명 확인")</f>
        <v xml:space="preserve">Water Management Division </v>
      </c>
      <c r="S71" s="32" t="str">
        <f>IFERROR(VLOOKUP($I71,[1]DB2!$F$2:$I$58,4,0),"옛날 부서명 확인")</f>
        <v xml:space="preserve">Land and Environment Research Group </v>
      </c>
    </row>
    <row r="72" spans="1:19" ht="18" customHeight="1">
      <c r="A72" s="15" t="s">
        <v>437</v>
      </c>
      <c r="B72" s="15" t="s">
        <v>21</v>
      </c>
      <c r="C72" s="15" t="s">
        <v>319</v>
      </c>
      <c r="D72" s="16" t="s">
        <v>320</v>
      </c>
      <c r="E72" s="16"/>
      <c r="F72" s="16" t="s">
        <v>206</v>
      </c>
      <c r="G72" s="15" t="s">
        <v>321</v>
      </c>
      <c r="H72" s="16" t="s">
        <v>208</v>
      </c>
      <c r="I72" s="16" t="s">
        <v>209</v>
      </c>
      <c r="J72" s="17">
        <v>2196000000</v>
      </c>
      <c r="K72" s="18">
        <v>45658</v>
      </c>
      <c r="L72" s="18">
        <v>46022</v>
      </c>
      <c r="M72" s="16" t="s">
        <v>138</v>
      </c>
      <c r="N72" s="37" t="s">
        <v>1660</v>
      </c>
      <c r="O72" s="32" t="str">
        <f>IFERROR(VLOOKUP($G72,[1]DB2!$A:$B,2,0),"공동과책 확인")</f>
        <v>Yoon, Jeongho</v>
      </c>
      <c r="P72" s="32" t="s">
        <v>2256</v>
      </c>
      <c r="Q72" s="32" t="s">
        <v>1618</v>
      </c>
      <c r="R72" s="32" t="str">
        <f>IFERROR(VLOOKUP($I72,[1]DB2!$F$2:$I$58,2,0),"옛날 부서명 확인")</f>
        <v>Spatial Planning and Management Division</v>
      </c>
      <c r="S72" s="32" t="str">
        <f>IFERROR(VLOOKUP($I72,[1]DB2!$F$2:$I$58,4,0),"옛날 부서명 확인")</f>
        <v xml:space="preserve">Land and Environment Research Group </v>
      </c>
    </row>
    <row r="73" spans="1:19" ht="18" customHeight="1">
      <c r="A73" s="15" t="s">
        <v>440</v>
      </c>
      <c r="B73" s="15" t="s">
        <v>21</v>
      </c>
      <c r="C73" s="15" t="s">
        <v>323</v>
      </c>
      <c r="D73" s="16" t="s">
        <v>324</v>
      </c>
      <c r="E73" s="16"/>
      <c r="F73" s="16" t="s">
        <v>325</v>
      </c>
      <c r="G73" s="15" t="s">
        <v>326</v>
      </c>
      <c r="H73" s="16" t="s">
        <v>327</v>
      </c>
      <c r="I73" s="16" t="s">
        <v>328</v>
      </c>
      <c r="J73" s="17">
        <v>199967501</v>
      </c>
      <c r="K73" s="18">
        <v>45658</v>
      </c>
      <c r="L73" s="18">
        <v>46022</v>
      </c>
      <c r="M73" s="16" t="s">
        <v>74</v>
      </c>
      <c r="N73" s="37" t="s">
        <v>2039</v>
      </c>
      <c r="O73" s="32" t="str">
        <f>IFERROR(VLOOKUP($G73,[1]DB2!$A:$B,2,0),"공동과책 확인")</f>
        <v>Chang, Hoon</v>
      </c>
      <c r="P73" s="32" t="s">
        <v>1619</v>
      </c>
      <c r="Q73" s="32" t="s">
        <v>2258</v>
      </c>
      <c r="R73" s="32" t="str">
        <f>IFERROR(VLOOKUP($I73,[1]DB2!$F$2:$I$58,2,0),"옛날 부서명 확인")</f>
        <v xml:space="preserve">Climate and Atmospheric Strategy Research Group  </v>
      </c>
      <c r="S73" s="32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5" t="s">
        <v>444</v>
      </c>
      <c r="B74" s="15" t="s">
        <v>21</v>
      </c>
      <c r="C74" s="15" t="s">
        <v>330</v>
      </c>
      <c r="D74" s="16" t="s">
        <v>331</v>
      </c>
      <c r="E74" s="16"/>
      <c r="F74" s="16" t="s">
        <v>181</v>
      </c>
      <c r="G74" s="15" t="s">
        <v>182</v>
      </c>
      <c r="H74" s="16" t="s">
        <v>332</v>
      </c>
      <c r="I74" s="16" t="s">
        <v>333</v>
      </c>
      <c r="J74" s="17">
        <v>249984000</v>
      </c>
      <c r="K74" s="18">
        <v>45658</v>
      </c>
      <c r="L74" s="18">
        <v>46022</v>
      </c>
      <c r="M74" s="16" t="s">
        <v>334</v>
      </c>
      <c r="N74" s="37" t="s">
        <v>2042</v>
      </c>
      <c r="O74" s="32" t="str">
        <f>IFERROR(VLOOKUP($G74,[1]DB2!$A:$B,2,0),"공동과책 확인")</f>
        <v>Kim, Hyunno</v>
      </c>
      <c r="P74" s="32" t="s">
        <v>1621</v>
      </c>
      <c r="Q74" s="32" t="s">
        <v>1614</v>
      </c>
      <c r="R74" s="32" t="str">
        <f>IFERROR(VLOOKUP($I74,[1]DB2!$F$2:$I$58,2,0),"옛날 부서명 확인")</f>
        <v xml:space="preserve">Green Economy Division </v>
      </c>
      <c r="S74" s="32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5" t="s">
        <v>446</v>
      </c>
      <c r="B75" s="15" t="s">
        <v>21</v>
      </c>
      <c r="C75" s="15" t="s">
        <v>336</v>
      </c>
      <c r="D75" s="16" t="s">
        <v>337</v>
      </c>
      <c r="E75" s="16"/>
      <c r="F75" s="16" t="s">
        <v>36</v>
      </c>
      <c r="G75" s="15" t="s">
        <v>37</v>
      </c>
      <c r="H75" s="16" t="s">
        <v>38</v>
      </c>
      <c r="I75" s="16" t="s">
        <v>39</v>
      </c>
      <c r="J75" s="17">
        <v>450000000</v>
      </c>
      <c r="K75" s="18">
        <v>45658</v>
      </c>
      <c r="L75" s="18">
        <v>46387</v>
      </c>
      <c r="M75" s="16" t="s">
        <v>338</v>
      </c>
      <c r="N75" s="37" t="s">
        <v>1661</v>
      </c>
      <c r="O75" s="32" t="str">
        <f>IFERROR(VLOOKUP($G75,[1]DB2!$A:$B,2,0),"공동과책 확인")</f>
        <v>Cho, Kongjang</v>
      </c>
      <c r="P75" s="32" t="s">
        <v>1622</v>
      </c>
      <c r="Q75" s="32" t="s">
        <v>2255</v>
      </c>
      <c r="R75" s="32" t="str">
        <f>IFERROR(VLOOKUP($I75,[1]DB2!$F$2:$I$58,2,0),"옛날 부서명 확인")</f>
        <v xml:space="preserve">Living Environment and Society Division </v>
      </c>
      <c r="S75" s="32" t="str">
        <f>IFERROR(VLOOKUP($I75,[1]DB2!$F$2:$I$58,4,0),"옛날 부서명 확인")</f>
        <v xml:space="preserve">Sustainable Development Research Group  </v>
      </c>
    </row>
    <row r="76" spans="1:19" ht="18" customHeight="1">
      <c r="A76" s="15" t="s">
        <v>450</v>
      </c>
      <c r="B76" s="15" t="s">
        <v>21</v>
      </c>
      <c r="C76" s="15" t="s">
        <v>340</v>
      </c>
      <c r="D76" s="16" t="s">
        <v>2265</v>
      </c>
      <c r="E76" s="16"/>
      <c r="F76" s="16" t="s">
        <v>341</v>
      </c>
      <c r="G76" s="15" t="s">
        <v>342</v>
      </c>
      <c r="H76" s="16" t="s">
        <v>343</v>
      </c>
      <c r="I76" s="16" t="s">
        <v>191</v>
      </c>
      <c r="J76" s="17">
        <v>130000000</v>
      </c>
      <c r="K76" s="18">
        <v>45658</v>
      </c>
      <c r="L76" s="18">
        <v>46022</v>
      </c>
      <c r="M76" s="16" t="s">
        <v>344</v>
      </c>
      <c r="N76" s="37" t="s">
        <v>2298</v>
      </c>
      <c r="O76" s="32" t="s">
        <v>2303</v>
      </c>
      <c r="P76" s="32" t="s">
        <v>2257</v>
      </c>
      <c r="Q76" s="32" t="s">
        <v>2255</v>
      </c>
      <c r="R76" s="32" t="str">
        <f>IFERROR(VLOOKUP($I76,[1]DB2!$F$2:$I$58,2,0),"옛날 부서명 확인")</f>
        <v>Atmospheric Environment Division</v>
      </c>
      <c r="S76" s="32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5" t="s">
        <v>453</v>
      </c>
      <c r="B77" s="15" t="s">
        <v>21</v>
      </c>
      <c r="C77" s="15" t="s">
        <v>346</v>
      </c>
      <c r="D77" s="16" t="s">
        <v>347</v>
      </c>
      <c r="E77" s="16"/>
      <c r="F77" s="16" t="s">
        <v>348</v>
      </c>
      <c r="G77" s="15" t="s">
        <v>349</v>
      </c>
      <c r="H77" s="16" t="s">
        <v>32</v>
      </c>
      <c r="I77" s="16" t="s">
        <v>27</v>
      </c>
      <c r="J77" s="17">
        <v>1181000000</v>
      </c>
      <c r="K77" s="18">
        <v>45658</v>
      </c>
      <c r="L77" s="18">
        <v>46022</v>
      </c>
      <c r="M77" s="16" t="s">
        <v>350</v>
      </c>
      <c r="N77" s="37" t="s">
        <v>2044</v>
      </c>
      <c r="O77" s="32" t="str">
        <f>IFERROR(VLOOKUP($G77,[1]DB2!$A:$B,2,0),"공동과책 확인")</f>
        <v>Kim, Choong-ki</v>
      </c>
      <c r="P77" s="32" t="s">
        <v>1620</v>
      </c>
      <c r="Q77" s="32" t="s">
        <v>2257</v>
      </c>
      <c r="R77" s="32" t="str">
        <f>IFERROR(VLOOKUP($I77,[1]DB2!$F$2:$I$58,2,0),"옛날 부서명 확인")</f>
        <v xml:space="preserve">Natural Environment Division </v>
      </c>
      <c r="S77" s="32" t="str">
        <f>IFERROR(VLOOKUP($I77,[1]DB2!$F$2:$I$58,4,0),"옛날 부서명 확인")</f>
        <v xml:space="preserve">Land and Environment Research Group </v>
      </c>
    </row>
    <row r="78" spans="1:19" ht="18" customHeight="1">
      <c r="A78" s="15" t="s">
        <v>456</v>
      </c>
      <c r="B78" s="15" t="s">
        <v>21</v>
      </c>
      <c r="C78" s="15" t="s">
        <v>352</v>
      </c>
      <c r="D78" s="16" t="s">
        <v>2151</v>
      </c>
      <c r="E78" s="16"/>
      <c r="F78" s="16" t="s">
        <v>353</v>
      </c>
      <c r="G78" s="15" t="s">
        <v>354</v>
      </c>
      <c r="H78" s="16" t="s">
        <v>297</v>
      </c>
      <c r="I78" s="16" t="s">
        <v>298</v>
      </c>
      <c r="J78" s="17">
        <v>850000000</v>
      </c>
      <c r="K78" s="18">
        <v>45658</v>
      </c>
      <c r="L78" s="18">
        <v>46022</v>
      </c>
      <c r="M78" s="16" t="s">
        <v>334</v>
      </c>
      <c r="N78" s="37" t="s">
        <v>2288</v>
      </c>
      <c r="O78" s="32" t="str">
        <f>IFERROR(VLOOKUP($G78,[1]DB2!$A:$B,2,0),"공동과책 확인")</f>
        <v>Song, Youngil</v>
      </c>
      <c r="P78" s="32" t="s">
        <v>1798</v>
      </c>
      <c r="Q78" s="32" t="s">
        <v>2257</v>
      </c>
      <c r="R78" s="32" t="str">
        <f>IFERROR(VLOOKUP($I78,[1]DB2!$F$2:$I$58,2,0),"옛날 부서명 확인")</f>
        <v xml:space="preserve">Climate Adaptation Policy Division </v>
      </c>
      <c r="S78" s="32" t="str">
        <f>IFERROR(VLOOKUP($I78,[1]DB2!$F$2:$I$58,4,0),"옛날 부서명 확인")</f>
        <v xml:space="preserve">Korea Adaptation Center for Climate Change </v>
      </c>
    </row>
    <row r="79" spans="1:19" ht="18" customHeight="1">
      <c r="A79" s="15" t="s">
        <v>459</v>
      </c>
      <c r="B79" s="15" t="s">
        <v>21</v>
      </c>
      <c r="C79" s="15" t="s">
        <v>356</v>
      </c>
      <c r="D79" s="16" t="s">
        <v>357</v>
      </c>
      <c r="E79" s="16"/>
      <c r="F79" s="16" t="s">
        <v>353</v>
      </c>
      <c r="G79" s="15" t="s">
        <v>354</v>
      </c>
      <c r="H79" s="16" t="s">
        <v>297</v>
      </c>
      <c r="I79" s="16" t="s">
        <v>298</v>
      </c>
      <c r="J79" s="17">
        <v>558000000</v>
      </c>
      <c r="K79" s="18">
        <v>45658</v>
      </c>
      <c r="L79" s="18">
        <v>46022</v>
      </c>
      <c r="M79" s="16" t="s">
        <v>334</v>
      </c>
      <c r="N79" s="37" t="s">
        <v>2046</v>
      </c>
      <c r="O79" s="32" t="str">
        <f>IFERROR(VLOOKUP($G79,[1]DB2!$A:$B,2,0),"공동과책 확인")</f>
        <v>Song, Youngil</v>
      </c>
      <c r="P79" s="32" t="s">
        <v>1619</v>
      </c>
      <c r="Q79" s="32" t="s">
        <v>2257</v>
      </c>
      <c r="R79" s="32" t="str">
        <f>IFERROR(VLOOKUP($I79,[1]DB2!$F$2:$I$58,2,0),"옛날 부서명 확인")</f>
        <v xml:space="preserve">Climate Adaptation Policy Division </v>
      </c>
      <c r="S79" s="32" t="str">
        <f>IFERROR(VLOOKUP($I79,[1]DB2!$F$2:$I$58,4,0),"옛날 부서명 확인")</f>
        <v xml:space="preserve">Korea Adaptation Center for Climate Change </v>
      </c>
    </row>
    <row r="80" spans="1:19" ht="18" customHeight="1">
      <c r="A80" s="15" t="s">
        <v>462</v>
      </c>
      <c r="B80" s="15" t="s">
        <v>21</v>
      </c>
      <c r="C80" s="15" t="s">
        <v>359</v>
      </c>
      <c r="D80" s="16" t="s">
        <v>360</v>
      </c>
      <c r="E80" s="16"/>
      <c r="F80" s="16" t="s">
        <v>361</v>
      </c>
      <c r="G80" s="15" t="s">
        <v>362</v>
      </c>
      <c r="H80" s="16" t="s">
        <v>198</v>
      </c>
      <c r="I80" s="16" t="s">
        <v>199</v>
      </c>
      <c r="J80" s="17">
        <v>40400000</v>
      </c>
      <c r="K80" s="18">
        <v>45658</v>
      </c>
      <c r="L80" s="18">
        <v>46022</v>
      </c>
      <c r="M80" s="16" t="s">
        <v>334</v>
      </c>
      <c r="N80" s="37" t="s">
        <v>2048</v>
      </c>
      <c r="O80" s="32" t="str">
        <f>IFERROR(VLOOKUP($G80,[1]DB2!$A:$B,2,0),"공동과책 확인")</f>
        <v>Ahn, Jongho</v>
      </c>
      <c r="P80" s="32" t="s">
        <v>1617</v>
      </c>
      <c r="Q80" s="32" t="s">
        <v>1619</v>
      </c>
      <c r="R80" s="32" t="str">
        <f>IFERROR(VLOOKUP($I80,[1]DB2!$F$2:$I$58,2,0),"옛날 부서명 확인")</f>
        <v xml:space="preserve">Water Management Division </v>
      </c>
      <c r="S80" s="32" t="str">
        <f>IFERROR(VLOOKUP($I80,[1]DB2!$F$2:$I$58,4,0),"옛날 부서명 확인")</f>
        <v xml:space="preserve">Land and Environment Research Group </v>
      </c>
    </row>
    <row r="81" spans="1:19" ht="18" customHeight="1">
      <c r="A81" s="15" t="s">
        <v>467</v>
      </c>
      <c r="B81" s="15" t="s">
        <v>21</v>
      </c>
      <c r="C81" s="15" t="s">
        <v>364</v>
      </c>
      <c r="D81" s="16" t="s">
        <v>365</v>
      </c>
      <c r="E81" s="16"/>
      <c r="F81" s="16" t="s">
        <v>325</v>
      </c>
      <c r="G81" s="15" t="s">
        <v>326</v>
      </c>
      <c r="H81" s="16" t="s">
        <v>327</v>
      </c>
      <c r="I81" s="16" t="s">
        <v>328</v>
      </c>
      <c r="J81" s="17">
        <v>280700000</v>
      </c>
      <c r="K81" s="18">
        <v>45658</v>
      </c>
      <c r="L81" s="18">
        <v>46022</v>
      </c>
      <c r="M81" s="16" t="s">
        <v>334</v>
      </c>
      <c r="N81" s="37" t="s">
        <v>2050</v>
      </c>
      <c r="O81" s="32" t="str">
        <f>IFERROR(VLOOKUP($G81,[1]DB2!$A:$B,2,0),"공동과책 확인")</f>
        <v>Chang, Hoon</v>
      </c>
      <c r="P81" s="32" t="s">
        <v>2255</v>
      </c>
      <c r="Q81" s="32" t="s">
        <v>2258</v>
      </c>
      <c r="R81" s="32" t="str">
        <f>IFERROR(VLOOKUP($I81,[1]DB2!$F$2:$I$58,2,0),"옛날 부서명 확인")</f>
        <v xml:space="preserve">Climate and Atmospheric Strategy Research Group  </v>
      </c>
      <c r="S81" s="32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5" t="s">
        <v>472</v>
      </c>
      <c r="B82" s="15" t="s">
        <v>21</v>
      </c>
      <c r="C82" s="15" t="s">
        <v>366</v>
      </c>
      <c r="D82" s="16" t="s">
        <v>367</v>
      </c>
      <c r="E82" s="16"/>
      <c r="F82" s="16" t="s">
        <v>288</v>
      </c>
      <c r="G82" s="15" t="s">
        <v>289</v>
      </c>
      <c r="H82" s="16" t="s">
        <v>290</v>
      </c>
      <c r="I82" s="16" t="s">
        <v>291</v>
      </c>
      <c r="J82" s="17">
        <v>299000000</v>
      </c>
      <c r="K82" s="18">
        <v>45658</v>
      </c>
      <c r="L82" s="18">
        <v>46022</v>
      </c>
      <c r="M82" s="16" t="s">
        <v>334</v>
      </c>
      <c r="N82" s="37" t="s">
        <v>2052</v>
      </c>
      <c r="O82" s="32" t="str">
        <f>IFERROR(VLOOKUP($G82,[1]DB2!$A:$B,2,0),"공동과책 확인")</f>
        <v>Jung, Huicheul</v>
      </c>
      <c r="P82" s="32" t="s">
        <v>1619</v>
      </c>
      <c r="Q82" s="32" t="s">
        <v>2257</v>
      </c>
      <c r="R82" s="32" t="str">
        <f>IFERROR(VLOOKUP($I82,[1]DB2!$F$2:$I$58,2,0),"옛날 부서명 확인")</f>
        <v xml:space="preserve">Korea Adaptation Center for Climate Change </v>
      </c>
      <c r="S82" s="32" t="str">
        <f>IFERROR(VLOOKUP($I82,[1]DB2!$F$2:$I$58,4,0),"옛날 부서명 확인")</f>
        <v xml:space="preserve">Korea Adaptation Center for Climate Change </v>
      </c>
    </row>
    <row r="83" spans="1:19" ht="18" customHeight="1">
      <c r="A83" s="15" t="s">
        <v>478</v>
      </c>
      <c r="B83" s="15" t="s">
        <v>21</v>
      </c>
      <c r="C83" s="15" t="s">
        <v>368</v>
      </c>
      <c r="D83" s="16" t="s">
        <v>2345</v>
      </c>
      <c r="E83" s="16"/>
      <c r="F83" s="16" t="s">
        <v>225</v>
      </c>
      <c r="G83" s="15" t="s">
        <v>226</v>
      </c>
      <c r="H83" s="16" t="s">
        <v>243</v>
      </c>
      <c r="I83" s="16" t="s">
        <v>147</v>
      </c>
      <c r="J83" s="17">
        <v>150000000</v>
      </c>
      <c r="K83" s="18">
        <v>45658</v>
      </c>
      <c r="L83" s="18">
        <v>46022</v>
      </c>
      <c r="M83" s="16" t="s">
        <v>334</v>
      </c>
      <c r="N83" s="37" t="s">
        <v>2054</v>
      </c>
      <c r="O83" s="32" t="str">
        <f>IFERROR(VLOOKUP($G83,[1]DB2!$A:$B,2,0),"공동과책 확인")</f>
        <v xml:space="preserve">Jung, Dawoon </v>
      </c>
      <c r="P83" s="32" t="s">
        <v>1615</v>
      </c>
      <c r="Q83" s="32" t="s">
        <v>2259</v>
      </c>
      <c r="R83" s="32" t="str">
        <f>IFERROR(VLOOKUP($I83,[1]DB2!$F$2:$I$58,2,0),"옛날 부서명 확인")</f>
        <v xml:space="preserve">Environmental Health Division </v>
      </c>
      <c r="S83" s="32" t="str">
        <f>IFERROR(VLOOKUP($I83,[1]DB2!$F$2:$I$58,4,0),"옛날 부서명 확인")</f>
        <v xml:space="preserve">Sustainable Development Research Group  </v>
      </c>
    </row>
    <row r="84" spans="1:19" ht="18" customHeight="1">
      <c r="A84" s="15" t="s">
        <v>481</v>
      </c>
      <c r="B84" s="15" t="s">
        <v>21</v>
      </c>
      <c r="C84" s="15" t="s">
        <v>369</v>
      </c>
      <c r="D84" s="16" t="s">
        <v>370</v>
      </c>
      <c r="E84" s="16"/>
      <c r="F84" s="16" t="s">
        <v>196</v>
      </c>
      <c r="G84" s="15" t="s">
        <v>197</v>
      </c>
      <c r="H84" s="16" t="s">
        <v>198</v>
      </c>
      <c r="I84" s="16" t="s">
        <v>199</v>
      </c>
      <c r="J84" s="17">
        <v>182000000</v>
      </c>
      <c r="K84" s="18">
        <v>45658</v>
      </c>
      <c r="L84" s="18">
        <v>46022</v>
      </c>
      <c r="M84" s="16" t="s">
        <v>334</v>
      </c>
      <c r="N84" s="37" t="s">
        <v>1662</v>
      </c>
      <c r="O84" s="32" t="str">
        <f>IFERROR(VLOOKUP($G84,[1]DB2!$A:$B,2,0),"공동과책 확인")</f>
        <v>Lee, Moonhwan</v>
      </c>
      <c r="P84" s="32" t="s">
        <v>1617</v>
      </c>
      <c r="Q84" s="32" t="s">
        <v>1621</v>
      </c>
      <c r="R84" s="32" t="str">
        <f>IFERROR(VLOOKUP($I84,[1]DB2!$F$2:$I$58,2,0),"옛날 부서명 확인")</f>
        <v xml:space="preserve">Water Management Division </v>
      </c>
      <c r="S84" s="32" t="str">
        <f>IFERROR(VLOOKUP($I84,[1]DB2!$F$2:$I$58,4,0),"옛날 부서명 확인")</f>
        <v xml:space="preserve">Land and Environment Research Group </v>
      </c>
    </row>
    <row r="85" spans="1:19" ht="18" customHeight="1">
      <c r="A85" s="15" t="s">
        <v>488</v>
      </c>
      <c r="B85" s="15" t="s">
        <v>21</v>
      </c>
      <c r="C85" s="15" t="s">
        <v>371</v>
      </c>
      <c r="D85" s="16" t="s">
        <v>372</v>
      </c>
      <c r="E85" s="16"/>
      <c r="F85" s="16" t="s">
        <v>373</v>
      </c>
      <c r="G85" s="15" t="s">
        <v>374</v>
      </c>
      <c r="H85" s="16" t="s">
        <v>208</v>
      </c>
      <c r="I85" s="16" t="s">
        <v>209</v>
      </c>
      <c r="J85" s="17">
        <v>300000000</v>
      </c>
      <c r="K85" s="18">
        <v>45658</v>
      </c>
      <c r="L85" s="18">
        <v>46022</v>
      </c>
      <c r="M85" s="16" t="s">
        <v>375</v>
      </c>
      <c r="N85" s="37" t="s">
        <v>1663</v>
      </c>
      <c r="O85" s="32" t="str">
        <f>IFERROR(VLOOKUP($G85,[1]DB2!$A:$B,2,0),"공동과책 확인")</f>
        <v xml:space="preserve">Kim, Geunhan </v>
      </c>
      <c r="P85" s="32" t="s">
        <v>2256</v>
      </c>
      <c r="Q85" s="32" t="s">
        <v>2255</v>
      </c>
      <c r="R85" s="32" t="str">
        <f>IFERROR(VLOOKUP($I85,[1]DB2!$F$2:$I$58,2,0),"옛날 부서명 확인")</f>
        <v>Spatial Planning and Management Division</v>
      </c>
      <c r="S85" s="32" t="str">
        <f>IFERROR(VLOOKUP($I85,[1]DB2!$F$2:$I$58,4,0),"옛날 부서명 확인")</f>
        <v xml:space="preserve">Land and Environment Research Group </v>
      </c>
    </row>
    <row r="86" spans="1:19" ht="18" customHeight="1">
      <c r="A86" s="15" t="s">
        <v>491</v>
      </c>
      <c r="B86" s="15" t="s">
        <v>21</v>
      </c>
      <c r="C86" s="15" t="s">
        <v>376</v>
      </c>
      <c r="D86" s="16" t="s">
        <v>377</v>
      </c>
      <c r="E86" s="16"/>
      <c r="F86" s="16" t="s">
        <v>110</v>
      </c>
      <c r="G86" s="15" t="s">
        <v>111</v>
      </c>
      <c r="H86" s="16" t="s">
        <v>32</v>
      </c>
      <c r="I86" s="16" t="s">
        <v>27</v>
      </c>
      <c r="J86" s="17">
        <v>138600000</v>
      </c>
      <c r="K86" s="18">
        <v>45658</v>
      </c>
      <c r="L86" s="18">
        <v>46022</v>
      </c>
      <c r="M86" s="16" t="s">
        <v>334</v>
      </c>
      <c r="N86" s="37" t="s">
        <v>1664</v>
      </c>
      <c r="O86" s="32" t="str">
        <f>IFERROR(VLOOKUP($G86,[1]DB2!$A:$B,2,0),"공동과책 확인")</f>
        <v>Myeong, Soojeong</v>
      </c>
      <c r="P86" s="32" t="s">
        <v>1614</v>
      </c>
      <c r="Q86" s="32" t="s">
        <v>1619</v>
      </c>
      <c r="R86" s="32" t="str">
        <f>IFERROR(VLOOKUP($I86,[1]DB2!$F$2:$I$58,2,0),"옛날 부서명 확인")</f>
        <v xml:space="preserve">Natural Environment Division </v>
      </c>
      <c r="S86" s="32" t="str">
        <f>IFERROR(VLOOKUP($I86,[1]DB2!$F$2:$I$58,4,0),"옛날 부서명 확인")</f>
        <v xml:space="preserve">Land and Environment Research Group </v>
      </c>
    </row>
    <row r="87" spans="1:19" ht="18" customHeight="1">
      <c r="A87" s="15" t="s">
        <v>494</v>
      </c>
      <c r="B87" s="15" t="s">
        <v>21</v>
      </c>
      <c r="C87" s="15" t="s">
        <v>385</v>
      </c>
      <c r="D87" s="16" t="s">
        <v>386</v>
      </c>
      <c r="E87" s="16"/>
      <c r="F87" s="16" t="s">
        <v>196</v>
      </c>
      <c r="G87" s="15" t="s">
        <v>197</v>
      </c>
      <c r="H87" s="16" t="s">
        <v>198</v>
      </c>
      <c r="I87" s="16" t="s">
        <v>199</v>
      </c>
      <c r="J87" s="17">
        <v>258000000</v>
      </c>
      <c r="K87" s="18">
        <v>45658</v>
      </c>
      <c r="L87" s="18">
        <v>46022</v>
      </c>
      <c r="M87" s="16" t="s">
        <v>387</v>
      </c>
      <c r="N87" s="37" t="s">
        <v>1665</v>
      </c>
      <c r="O87" s="32" t="str">
        <f>IFERROR(VLOOKUP($G87,[1]DB2!$A:$B,2,0),"공동과책 확인")</f>
        <v>Lee, Moonhwan</v>
      </c>
      <c r="P87" s="32" t="s">
        <v>1617</v>
      </c>
      <c r="Q87" s="32" t="s">
        <v>2257</v>
      </c>
      <c r="R87" s="32" t="str">
        <f>IFERROR(VLOOKUP($I87,[1]DB2!$F$2:$I$58,2,0),"옛날 부서명 확인")</f>
        <v xml:space="preserve">Water Management Division </v>
      </c>
      <c r="S87" s="32" t="str">
        <f>IFERROR(VLOOKUP($I87,[1]DB2!$F$2:$I$58,4,0),"옛날 부서명 확인")</f>
        <v xml:space="preserve">Land and Environment Research Group </v>
      </c>
    </row>
    <row r="88" spans="1:19" ht="18" customHeight="1">
      <c r="A88" s="15" t="s">
        <v>500</v>
      </c>
      <c r="B88" s="15" t="s">
        <v>21</v>
      </c>
      <c r="C88" s="15" t="s">
        <v>389</v>
      </c>
      <c r="D88" s="16" t="s">
        <v>390</v>
      </c>
      <c r="E88" s="16"/>
      <c r="F88" s="16" t="s">
        <v>110</v>
      </c>
      <c r="G88" s="15" t="s">
        <v>111</v>
      </c>
      <c r="H88" s="16" t="s">
        <v>32</v>
      </c>
      <c r="I88" s="16" t="s">
        <v>27</v>
      </c>
      <c r="J88" s="17">
        <v>100000000</v>
      </c>
      <c r="K88" s="18">
        <v>45658</v>
      </c>
      <c r="L88" s="18">
        <v>46022</v>
      </c>
      <c r="M88" s="16" t="s">
        <v>334</v>
      </c>
      <c r="N88" s="37" t="s">
        <v>1666</v>
      </c>
      <c r="O88" s="32" t="str">
        <f>IFERROR(VLOOKUP($G88,[1]DB2!$A:$B,2,0),"공동과책 확인")</f>
        <v>Myeong, Soojeong</v>
      </c>
      <c r="P88" s="32" t="s">
        <v>2255</v>
      </c>
      <c r="Q88" s="32" t="s">
        <v>1614</v>
      </c>
      <c r="R88" s="32" t="str">
        <f>IFERROR(VLOOKUP($I88,[1]DB2!$F$2:$I$58,2,0),"옛날 부서명 확인")</f>
        <v xml:space="preserve">Natural Environment Division </v>
      </c>
      <c r="S88" s="32" t="str">
        <f>IFERROR(VLOOKUP($I88,[1]DB2!$F$2:$I$58,4,0),"옛날 부서명 확인")</f>
        <v xml:space="preserve">Land and Environment Research Group </v>
      </c>
    </row>
    <row r="89" spans="1:19" ht="18" customHeight="1">
      <c r="A89" s="15" t="s">
        <v>503</v>
      </c>
      <c r="B89" s="15" t="s">
        <v>21</v>
      </c>
      <c r="C89" s="15" t="s">
        <v>392</v>
      </c>
      <c r="D89" s="16" t="s">
        <v>393</v>
      </c>
      <c r="E89" s="16"/>
      <c r="F89" s="16" t="s">
        <v>85</v>
      </c>
      <c r="G89" s="15" t="s">
        <v>86</v>
      </c>
      <c r="H89" s="16" t="s">
        <v>394</v>
      </c>
      <c r="I89" s="16" t="s">
        <v>395</v>
      </c>
      <c r="J89" s="17">
        <v>110000000</v>
      </c>
      <c r="K89" s="18">
        <v>45658</v>
      </c>
      <c r="L89" s="18">
        <v>46022</v>
      </c>
      <c r="M89" s="16" t="s">
        <v>350</v>
      </c>
      <c r="N89" s="37" t="s">
        <v>1667</v>
      </c>
      <c r="O89" s="32" t="str">
        <f>IFERROR(VLOOKUP($G89,[1]DB2!$A:$B,2,0),"공동과책 확인")</f>
        <v>Kim, Taeyun</v>
      </c>
      <c r="P89" s="32" t="s">
        <v>1618</v>
      </c>
      <c r="Q89" s="32" t="s">
        <v>1620</v>
      </c>
      <c r="R89" s="32" t="str">
        <f>IFERROR(VLOOKUP($I89,[1]DB2!$F$2:$I$58,2,0),"옛날 부서명 확인")</f>
        <v xml:space="preserve">Climate and Energy Assessment Division </v>
      </c>
      <c r="S89" s="32" t="str">
        <f>IFERROR(VLOOKUP($I89,[1]DB2!$F$2:$I$58,4,0),"옛날 부서명 확인")</f>
        <v xml:space="preserve">Environmental Assessment Group </v>
      </c>
    </row>
    <row r="90" spans="1:19" ht="18" customHeight="1">
      <c r="A90" s="15" t="s">
        <v>506</v>
      </c>
      <c r="B90" s="15" t="s">
        <v>21</v>
      </c>
      <c r="C90" s="15" t="s">
        <v>397</v>
      </c>
      <c r="D90" s="16" t="s">
        <v>398</v>
      </c>
      <c r="E90" s="16"/>
      <c r="F90" s="16" t="s">
        <v>399</v>
      </c>
      <c r="G90" s="15" t="s">
        <v>400</v>
      </c>
      <c r="H90" s="16" t="s">
        <v>343</v>
      </c>
      <c r="I90" s="16" t="s">
        <v>191</v>
      </c>
      <c r="J90" s="17">
        <v>160000000</v>
      </c>
      <c r="K90" s="18">
        <v>45658</v>
      </c>
      <c r="L90" s="18">
        <v>46022</v>
      </c>
      <c r="M90" s="16" t="s">
        <v>334</v>
      </c>
      <c r="N90" s="37" t="s">
        <v>1668</v>
      </c>
      <c r="O90" s="32" t="str">
        <f>IFERROR(VLOOKUP($G90,[1]DB2!$A:$B,2,0),"공동과책 확인")</f>
        <v>Lee, Seungmin</v>
      </c>
      <c r="P90" s="32" t="s">
        <v>2255</v>
      </c>
      <c r="Q90" s="32" t="s">
        <v>2257</v>
      </c>
      <c r="R90" s="32" t="str">
        <f>IFERROR(VLOOKUP($I90,[1]DB2!$F$2:$I$58,2,0),"옛날 부서명 확인")</f>
        <v>Atmospheric Environment Division</v>
      </c>
      <c r="S90" s="32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5" t="s">
        <v>511</v>
      </c>
      <c r="B91" s="15" t="s">
        <v>21</v>
      </c>
      <c r="C91" s="15" t="s">
        <v>402</v>
      </c>
      <c r="D91" s="16" t="s">
        <v>403</v>
      </c>
      <c r="E91" s="16"/>
      <c r="F91" s="16" t="s">
        <v>188</v>
      </c>
      <c r="G91" s="15" t="s">
        <v>189</v>
      </c>
      <c r="H91" s="16" t="s">
        <v>190</v>
      </c>
      <c r="I91" s="16" t="s">
        <v>191</v>
      </c>
      <c r="J91" s="17">
        <v>15000000</v>
      </c>
      <c r="K91" s="18">
        <v>45658</v>
      </c>
      <c r="L91" s="18">
        <v>45747</v>
      </c>
      <c r="M91" s="16" t="s">
        <v>59</v>
      </c>
      <c r="N91" s="37" t="s">
        <v>1669</v>
      </c>
      <c r="O91" s="32" t="str">
        <f>IFERROR(VLOOKUP($G91,[1]DB2!$A:$B,2,0),"공동과책 확인")</f>
        <v>Gong, Sungyong</v>
      </c>
      <c r="P91" s="32" t="s">
        <v>1616</v>
      </c>
      <c r="Q91" s="32"/>
      <c r="R91" s="32" t="str">
        <f>IFERROR(VLOOKUP($I91,[1]DB2!$F$2:$I$58,2,0),"옛날 부서명 확인")</f>
        <v>Atmospheric Environment Division</v>
      </c>
      <c r="S91" s="32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5" t="s">
        <v>516</v>
      </c>
      <c r="B92" s="15" t="s">
        <v>21</v>
      </c>
      <c r="C92" s="15" t="s">
        <v>427</v>
      </c>
      <c r="D92" s="16" t="s">
        <v>428</v>
      </c>
      <c r="E92" s="16"/>
      <c r="F92" s="16" t="s">
        <v>429</v>
      </c>
      <c r="G92" s="15" t="s">
        <v>430</v>
      </c>
      <c r="H92" s="16" t="s">
        <v>198</v>
      </c>
      <c r="I92" s="16" t="s">
        <v>199</v>
      </c>
      <c r="J92" s="17">
        <v>96000000</v>
      </c>
      <c r="K92" s="18">
        <v>45658</v>
      </c>
      <c r="L92" s="18">
        <v>46022</v>
      </c>
      <c r="M92" s="16" t="s">
        <v>334</v>
      </c>
      <c r="N92" s="37" t="s">
        <v>1674</v>
      </c>
      <c r="O92" s="32" t="str">
        <f>IFERROR(VLOOKUP($G92,[1]DB2!$A:$B,2,0),"공동과책 확인")</f>
        <v>Choi, Mikyoung</v>
      </c>
      <c r="P92" s="32" t="s">
        <v>1617</v>
      </c>
      <c r="Q92" s="32" t="s">
        <v>1614</v>
      </c>
      <c r="R92" s="32" t="str">
        <f>IFERROR(VLOOKUP($I92,[1]DB2!$F$2:$I$58,2,0),"옛날 부서명 확인")</f>
        <v xml:space="preserve">Water Management Division </v>
      </c>
      <c r="S92" s="32" t="str">
        <f>IFERROR(VLOOKUP($I92,[1]DB2!$F$2:$I$58,4,0),"옛날 부서명 확인")</f>
        <v xml:space="preserve">Land and Environment Research Group </v>
      </c>
    </row>
    <row r="93" spans="1:19" ht="18" customHeight="1">
      <c r="A93" s="15" t="s">
        <v>520</v>
      </c>
      <c r="B93" s="15" t="s">
        <v>21</v>
      </c>
      <c r="C93" s="15" t="s">
        <v>432</v>
      </c>
      <c r="D93" s="16" t="s">
        <v>433</v>
      </c>
      <c r="E93" s="16"/>
      <c r="F93" s="16" t="s">
        <v>175</v>
      </c>
      <c r="G93" s="15" t="s">
        <v>176</v>
      </c>
      <c r="H93" s="16" t="s">
        <v>434</v>
      </c>
      <c r="I93" s="16" t="s">
        <v>435</v>
      </c>
      <c r="J93" s="17">
        <v>90000000</v>
      </c>
      <c r="K93" s="18">
        <v>45658</v>
      </c>
      <c r="L93" s="18">
        <v>46022</v>
      </c>
      <c r="M93" s="16" t="s">
        <v>436</v>
      </c>
      <c r="N93" s="37" t="s">
        <v>1675</v>
      </c>
      <c r="O93" s="32" t="str">
        <f>IFERROR(VLOOKUP($G93,[1]DB2!$A:$B,2,0),"공동과책 확인")</f>
        <v>Kang, Hyeongsik</v>
      </c>
      <c r="P93" s="32" t="s">
        <v>1617</v>
      </c>
      <c r="Q93" s="32" t="s">
        <v>1614</v>
      </c>
      <c r="R93" s="32" t="str">
        <f>IFERROR(VLOOKUP($I93,[1]DB2!$F$2:$I$58,2,0),"옛날 부서명 확인")</f>
        <v xml:space="preserve">Land and Environment Research Group </v>
      </c>
      <c r="S93" s="32" t="str">
        <f>IFERROR(VLOOKUP($I93,[1]DB2!$F$2:$I$58,4,0),"옛날 부서명 확인")</f>
        <v xml:space="preserve">Land and Environment Research Group </v>
      </c>
    </row>
    <row r="94" spans="1:19" ht="18" customHeight="1">
      <c r="A94" s="15" t="s">
        <v>524</v>
      </c>
      <c r="B94" s="15" t="s">
        <v>21</v>
      </c>
      <c r="C94" s="15" t="s">
        <v>441</v>
      </c>
      <c r="D94" s="16" t="s">
        <v>442</v>
      </c>
      <c r="E94" s="16"/>
      <c r="F94" s="16" t="s">
        <v>70</v>
      </c>
      <c r="G94" s="15" t="s">
        <v>71</v>
      </c>
      <c r="H94" s="16" t="s">
        <v>72</v>
      </c>
      <c r="I94" s="16" t="s">
        <v>73</v>
      </c>
      <c r="J94" s="17">
        <v>100000000</v>
      </c>
      <c r="K94" s="18">
        <v>45658</v>
      </c>
      <c r="L94" s="18">
        <v>46022</v>
      </c>
      <c r="M94" s="16" t="s">
        <v>443</v>
      </c>
      <c r="N94" s="37" t="s">
        <v>1677</v>
      </c>
      <c r="O94" s="32" t="str">
        <f>IFERROR(VLOOKUP($G94,[1]DB2!$A:$B,2,0),"공동과책 확인")</f>
        <v>Cho, Hanna</v>
      </c>
      <c r="P94" s="32" t="s">
        <v>2255</v>
      </c>
      <c r="Q94" s="32" t="s">
        <v>1620</v>
      </c>
      <c r="R94" s="32" t="str">
        <f>IFERROR(VLOOKUP($I94,[1]DB2!$F$2:$I$58,2,0),"옛날 부서명 확인")</f>
        <v xml:space="preserve">Climate Adaptation Cooperation Division </v>
      </c>
      <c r="S94" s="32" t="str">
        <f>IFERROR(VLOOKUP($I94,[1]DB2!$F$2:$I$58,4,0),"옛날 부서명 확인")</f>
        <v xml:space="preserve">Korea Adaptation Center for Climate Change </v>
      </c>
    </row>
    <row r="95" spans="1:19" ht="18" customHeight="1">
      <c r="A95" s="15" t="s">
        <v>529</v>
      </c>
      <c r="B95" s="15" t="s">
        <v>21</v>
      </c>
      <c r="C95" s="15" t="s">
        <v>445</v>
      </c>
      <c r="D95" s="16" t="s">
        <v>2286</v>
      </c>
      <c r="E95" s="16"/>
      <c r="F95" s="16" t="s">
        <v>175</v>
      </c>
      <c r="G95" s="15" t="s">
        <v>176</v>
      </c>
      <c r="H95" s="16" t="s">
        <v>434</v>
      </c>
      <c r="I95" s="16" t="s">
        <v>435</v>
      </c>
      <c r="J95" s="17">
        <v>154600000</v>
      </c>
      <c r="K95" s="18">
        <v>45658</v>
      </c>
      <c r="L95" s="18">
        <v>46022</v>
      </c>
      <c r="M95" s="16" t="s">
        <v>436</v>
      </c>
      <c r="N95" s="37" t="s">
        <v>1678</v>
      </c>
      <c r="O95" s="32" t="str">
        <f>IFERROR(VLOOKUP($G95,[1]DB2!$A:$B,2,0),"공동과책 확인")</f>
        <v>Kang, Hyeongsik</v>
      </c>
      <c r="P95" s="32" t="s">
        <v>1617</v>
      </c>
      <c r="Q95" s="32" t="s">
        <v>1798</v>
      </c>
      <c r="R95" s="32" t="str">
        <f>IFERROR(VLOOKUP($I95,[1]DB2!$F$2:$I$58,2,0),"옛날 부서명 확인")</f>
        <v xml:space="preserve">Land and Environment Research Group </v>
      </c>
      <c r="S95" s="32" t="str">
        <f>IFERROR(VLOOKUP($I95,[1]DB2!$F$2:$I$58,4,0),"옛날 부서명 확인")</f>
        <v xml:space="preserve">Land and Environment Research Group </v>
      </c>
    </row>
    <row r="96" spans="1:19" ht="18" customHeight="1">
      <c r="A96" s="15" t="s">
        <v>533</v>
      </c>
      <c r="B96" s="15" t="s">
        <v>21</v>
      </c>
      <c r="C96" s="15" t="s">
        <v>447</v>
      </c>
      <c r="D96" s="16" t="s">
        <v>448</v>
      </c>
      <c r="E96" s="16"/>
      <c r="F96" s="16" t="s">
        <v>110</v>
      </c>
      <c r="G96" s="15" t="s">
        <v>111</v>
      </c>
      <c r="H96" s="16" t="s">
        <v>32</v>
      </c>
      <c r="I96" s="16" t="s">
        <v>27</v>
      </c>
      <c r="J96" s="17">
        <v>58000000</v>
      </c>
      <c r="K96" s="18">
        <v>45658</v>
      </c>
      <c r="L96" s="18">
        <v>46022</v>
      </c>
      <c r="M96" s="16" t="s">
        <v>449</v>
      </c>
      <c r="N96" s="37" t="s">
        <v>1679</v>
      </c>
      <c r="O96" s="32" t="str">
        <f>IFERROR(VLOOKUP($G96,[1]DB2!$A:$B,2,0),"공동과책 확인")</f>
        <v>Myeong, Soojeong</v>
      </c>
      <c r="P96" s="32" t="s">
        <v>2255</v>
      </c>
      <c r="Q96" s="32" t="s">
        <v>1798</v>
      </c>
      <c r="R96" s="32" t="str">
        <f>IFERROR(VLOOKUP($I96,[1]DB2!$F$2:$I$58,2,0),"옛날 부서명 확인")</f>
        <v xml:space="preserve">Natural Environment Division </v>
      </c>
      <c r="S96" s="32" t="str">
        <f>IFERROR(VLOOKUP($I96,[1]DB2!$F$2:$I$58,4,0),"옛날 부서명 확인")</f>
        <v xml:space="preserve">Land and Environment Research Group </v>
      </c>
    </row>
    <row r="97" spans="1:19" ht="18" customHeight="1">
      <c r="A97" s="15" t="s">
        <v>537</v>
      </c>
      <c r="B97" s="15" t="s">
        <v>21</v>
      </c>
      <c r="C97" s="15" t="s">
        <v>544</v>
      </c>
      <c r="D97" s="16" t="s">
        <v>545</v>
      </c>
      <c r="E97" s="16"/>
      <c r="F97" s="16" t="s">
        <v>225</v>
      </c>
      <c r="G97" s="15" t="s">
        <v>226</v>
      </c>
      <c r="H97" s="16" t="s">
        <v>243</v>
      </c>
      <c r="I97" s="16" t="s">
        <v>147</v>
      </c>
      <c r="J97" s="17">
        <v>50000000</v>
      </c>
      <c r="K97" s="18">
        <v>45658</v>
      </c>
      <c r="L97" s="18">
        <v>46022</v>
      </c>
      <c r="M97" s="16" t="s">
        <v>350</v>
      </c>
      <c r="N97" s="37" t="s">
        <v>2346</v>
      </c>
      <c r="O97" s="32" t="str">
        <f>IFERROR(VLOOKUP($G97,[1]DB2!$A:$B,2,0),"공동과책 확인")</f>
        <v xml:space="preserve">Jung, Dawoon </v>
      </c>
      <c r="P97" s="32" t="s">
        <v>1620</v>
      </c>
      <c r="Q97" s="32" t="s">
        <v>1615</v>
      </c>
      <c r="R97" s="32" t="str">
        <f>IFERROR(VLOOKUP($I97,[1]DB2!$F$2:$I$58,2,0),"옛날 부서명 확인")</f>
        <v xml:space="preserve">Environmental Health Division </v>
      </c>
      <c r="S97" s="32" t="str">
        <f>IFERROR(VLOOKUP($I97,[1]DB2!$F$2:$I$58,4,0),"옛날 부서명 확인")</f>
        <v xml:space="preserve">Sustainable Development Research Group  </v>
      </c>
    </row>
    <row r="98" spans="1:19" ht="18" customHeight="1">
      <c r="A98" s="15" t="s">
        <v>583</v>
      </c>
      <c r="B98" s="15" t="s">
        <v>797</v>
      </c>
      <c r="C98" s="15" t="s">
        <v>817</v>
      </c>
      <c r="D98" s="16" t="s">
        <v>795</v>
      </c>
      <c r="E98" s="16"/>
      <c r="F98" s="16" t="s">
        <v>818</v>
      </c>
      <c r="G98" s="15" t="s">
        <v>819</v>
      </c>
      <c r="H98" s="16" t="s">
        <v>254</v>
      </c>
      <c r="I98" s="16" t="s">
        <v>255</v>
      </c>
      <c r="J98" s="17">
        <v>100906000</v>
      </c>
      <c r="K98" s="18">
        <v>45658</v>
      </c>
      <c r="L98" s="18">
        <v>46022</v>
      </c>
      <c r="M98" s="16"/>
      <c r="N98" s="37" t="s">
        <v>1737</v>
      </c>
      <c r="O98" s="32" t="str">
        <f>IFERROR(VLOOKUP($G98,[1]DB2!$A:$B,2,0),"공동과책 확인")</f>
        <v>Kim, Hoseok</v>
      </c>
      <c r="P98" s="32" t="s">
        <v>1621</v>
      </c>
      <c r="Q98" s="32" t="s">
        <v>1622</v>
      </c>
      <c r="R98" s="32" t="str">
        <f>IFERROR(VLOOKUP($I98,[1]DB2!$F$2:$I$58,2,0),"옛날 부서명 확인")</f>
        <v xml:space="preserve">Circular Economy Division </v>
      </c>
      <c r="S98" s="32" t="str">
        <f>IFERROR(VLOOKUP($I98,[1]DB2!$F$2:$I$58,4,0),"옛날 부서명 확인")</f>
        <v xml:space="preserve">Sustainable Development Research Group  </v>
      </c>
    </row>
    <row r="99" spans="1:19" ht="18" customHeight="1">
      <c r="A99" s="15" t="s">
        <v>615</v>
      </c>
      <c r="B99" s="15" t="s">
        <v>840</v>
      </c>
      <c r="C99" s="15" t="s">
        <v>841</v>
      </c>
      <c r="D99" s="16" t="s">
        <v>842</v>
      </c>
      <c r="E99" s="16"/>
      <c r="F99" s="16" t="s">
        <v>565</v>
      </c>
      <c r="G99" s="15" t="s">
        <v>566</v>
      </c>
      <c r="H99" s="16" t="s">
        <v>32</v>
      </c>
      <c r="I99" s="16" t="s">
        <v>27</v>
      </c>
      <c r="J99" s="17">
        <v>45000000</v>
      </c>
      <c r="K99" s="18">
        <v>45658</v>
      </c>
      <c r="L99" s="18">
        <v>45961</v>
      </c>
      <c r="M99" s="16"/>
      <c r="N99" s="37" t="s">
        <v>2065</v>
      </c>
      <c r="O99" s="32" t="str">
        <f>IFERROR(VLOOKUP($G99,[1]DB2!$A:$B,2,0),"공동과책 확인")</f>
        <v>Hong, Hyunjung</v>
      </c>
      <c r="P99" s="32" t="s">
        <v>1797</v>
      </c>
      <c r="Q99" s="43" t="s">
        <v>2158</v>
      </c>
      <c r="R99" s="32" t="str">
        <f>IFERROR(VLOOKUP($I99,[1]DB2!$F$2:$I$58,2,0),"옛날 부서명 확인")</f>
        <v xml:space="preserve">Natural Environment Division </v>
      </c>
      <c r="S99" s="32" t="str">
        <f>IFERROR(VLOOKUP($I99,[1]DB2!$F$2:$I$58,4,0),"옛날 부서명 확인")</f>
        <v xml:space="preserve">Land and Environment Research Group </v>
      </c>
    </row>
    <row r="100" spans="1:19" ht="18" customHeight="1">
      <c r="A100" s="15" t="s">
        <v>619</v>
      </c>
      <c r="B100" s="15" t="s">
        <v>840</v>
      </c>
      <c r="C100" s="15" t="s">
        <v>843</v>
      </c>
      <c r="D100" s="16" t="s">
        <v>844</v>
      </c>
      <c r="E100" s="16"/>
      <c r="F100" s="16" t="s">
        <v>845</v>
      </c>
      <c r="G100" s="15" t="s">
        <v>846</v>
      </c>
      <c r="H100" s="16" t="s">
        <v>38</v>
      </c>
      <c r="I100" s="16" t="s">
        <v>39</v>
      </c>
      <c r="J100" s="17">
        <v>30000000</v>
      </c>
      <c r="K100" s="18">
        <v>45658</v>
      </c>
      <c r="L100" s="18">
        <v>45961</v>
      </c>
      <c r="M100" s="16"/>
      <c r="N100" s="37" t="s">
        <v>1738</v>
      </c>
      <c r="O100" s="32" t="str">
        <f>IFERROR(VLOOKUP($G100,[1]DB2!$A:$B,2,0),"공동과책 확인")</f>
        <v>Lee, Jae-hyuck</v>
      </c>
      <c r="P100" s="32" t="s">
        <v>2255</v>
      </c>
      <c r="Q100" s="32" t="s">
        <v>1620</v>
      </c>
      <c r="R100" s="32" t="str">
        <f>IFERROR(VLOOKUP($I100,[1]DB2!$F$2:$I$58,2,0),"옛날 부서명 확인")</f>
        <v xml:space="preserve">Living Environment and Society Division </v>
      </c>
      <c r="S100" s="32" t="str">
        <f>IFERROR(VLOOKUP($I100,[1]DB2!$F$2:$I$58,4,0),"옛날 부서명 확인")</f>
        <v xml:space="preserve">Sustainable Development Research Group  </v>
      </c>
    </row>
    <row r="101" spans="1:19" ht="18" customHeight="1">
      <c r="A101" s="15" t="s">
        <v>622</v>
      </c>
      <c r="B101" s="15" t="s">
        <v>840</v>
      </c>
      <c r="C101" s="15" t="s">
        <v>848</v>
      </c>
      <c r="D101" s="16" t="s">
        <v>1804</v>
      </c>
      <c r="E101" s="16"/>
      <c r="F101" s="16" t="s">
        <v>695</v>
      </c>
      <c r="G101" s="15" t="s">
        <v>696</v>
      </c>
      <c r="H101" s="16" t="s">
        <v>394</v>
      </c>
      <c r="I101" s="16" t="s">
        <v>395</v>
      </c>
      <c r="J101" s="17">
        <v>30000000</v>
      </c>
      <c r="K101" s="18">
        <v>45658</v>
      </c>
      <c r="L101" s="18">
        <v>45961</v>
      </c>
      <c r="M101" s="16"/>
      <c r="N101" s="37" t="s">
        <v>2323</v>
      </c>
      <c r="O101" s="32" t="str">
        <f>IFERROR(VLOOKUP($G101,[1]DB2!$A:$B,2,0),"공동과책 확인")</f>
        <v>Kim, Yumi</v>
      </c>
      <c r="P101" s="32" t="s">
        <v>1618</v>
      </c>
      <c r="Q101" s="32" t="s">
        <v>1619</v>
      </c>
      <c r="R101" s="32" t="str">
        <f>IFERROR(VLOOKUP($I101,[1]DB2!$F$2:$I$58,2,0),"옛날 부서명 확인")</f>
        <v xml:space="preserve">Climate and Energy Assessment Division </v>
      </c>
      <c r="S101" s="32" t="str">
        <f>IFERROR(VLOOKUP($I101,[1]DB2!$F$2:$I$58,4,0),"옛날 부서명 확인")</f>
        <v xml:space="preserve">Environmental Assessment Group </v>
      </c>
    </row>
    <row r="102" spans="1:19" ht="18" customHeight="1">
      <c r="A102" s="15" t="s">
        <v>625</v>
      </c>
      <c r="B102" s="15" t="s">
        <v>840</v>
      </c>
      <c r="C102" s="15" t="s">
        <v>850</v>
      </c>
      <c r="D102" s="16" t="s">
        <v>851</v>
      </c>
      <c r="E102" s="16"/>
      <c r="F102" s="16" t="s">
        <v>852</v>
      </c>
      <c r="G102" s="15" t="s">
        <v>853</v>
      </c>
      <c r="H102" s="16" t="s">
        <v>208</v>
      </c>
      <c r="I102" s="16" t="s">
        <v>209</v>
      </c>
      <c r="J102" s="17">
        <v>45000000</v>
      </c>
      <c r="K102" s="18">
        <v>45658</v>
      </c>
      <c r="L102" s="18">
        <v>45961</v>
      </c>
      <c r="M102" s="16"/>
      <c r="N102" s="37" t="s">
        <v>1739</v>
      </c>
      <c r="O102" s="32" t="str">
        <f>IFERROR(VLOOKUP($G102,[1]DB2!$A:$B,2,0),"공동과책 확인")</f>
        <v xml:space="preserve">Kim, Taehyun </v>
      </c>
      <c r="P102" s="32" t="s">
        <v>1619</v>
      </c>
      <c r="Q102" s="32" t="s">
        <v>2256</v>
      </c>
      <c r="R102" s="32" t="str">
        <f>IFERROR(VLOOKUP($I102,[1]DB2!$F$2:$I$58,2,0),"옛날 부서명 확인")</f>
        <v>Spatial Planning and Management Division</v>
      </c>
      <c r="S102" s="32" t="str">
        <f>IFERROR(VLOOKUP($I102,[1]DB2!$F$2:$I$58,4,0),"옛날 부서명 확인")</f>
        <v xml:space="preserve">Land and Environment Research Group </v>
      </c>
    </row>
    <row r="103" spans="1:19" ht="18" customHeight="1">
      <c r="A103" s="15" t="s">
        <v>628</v>
      </c>
      <c r="B103" s="15" t="s">
        <v>840</v>
      </c>
      <c r="C103" s="15" t="s">
        <v>855</v>
      </c>
      <c r="D103" s="16" t="s">
        <v>1808</v>
      </c>
      <c r="E103" s="16"/>
      <c r="F103" s="16" t="s">
        <v>219</v>
      </c>
      <c r="G103" s="15" t="s">
        <v>220</v>
      </c>
      <c r="H103" s="16" t="s">
        <v>198</v>
      </c>
      <c r="I103" s="16" t="s">
        <v>199</v>
      </c>
      <c r="J103" s="17">
        <v>45015000</v>
      </c>
      <c r="K103" s="18">
        <v>45658</v>
      </c>
      <c r="L103" s="18">
        <v>45961</v>
      </c>
      <c r="M103" s="16"/>
      <c r="N103" s="38" t="s">
        <v>2014</v>
      </c>
      <c r="O103" s="32" t="str">
        <f>IFERROR(VLOOKUP($G103,[1]DB2!$A:$B,2,0),"공동과책 확인")</f>
        <v>Kim, Hojeong</v>
      </c>
      <c r="P103" s="32" t="s">
        <v>1617</v>
      </c>
      <c r="Q103" s="32" t="s">
        <v>2256</v>
      </c>
      <c r="R103" s="32" t="str">
        <f>IFERROR(VLOOKUP($I103,[1]DB2!$F$2:$I$58,2,0),"옛날 부서명 확인")</f>
        <v xml:space="preserve">Water Management Division </v>
      </c>
      <c r="S103" s="32" t="str">
        <f>IFERROR(VLOOKUP($I103,[1]DB2!$F$2:$I$58,4,0),"옛날 부서명 확인")</f>
        <v xml:space="preserve">Land and Environment Research Group </v>
      </c>
    </row>
    <row r="104" spans="1:19" ht="18" customHeight="1">
      <c r="A104" s="15" t="s">
        <v>632</v>
      </c>
      <c r="B104" s="15" t="s">
        <v>840</v>
      </c>
      <c r="C104" s="15" t="s">
        <v>857</v>
      </c>
      <c r="D104" s="16" t="s">
        <v>858</v>
      </c>
      <c r="E104" s="16"/>
      <c r="F104" s="16" t="s">
        <v>214</v>
      </c>
      <c r="G104" s="15" t="s">
        <v>215</v>
      </c>
      <c r="H104" s="16" t="s">
        <v>198</v>
      </c>
      <c r="I104" s="16" t="s">
        <v>199</v>
      </c>
      <c r="J104" s="17">
        <v>30000000</v>
      </c>
      <c r="K104" s="18">
        <v>45658</v>
      </c>
      <c r="L104" s="18">
        <v>46022</v>
      </c>
      <c r="M104" s="16"/>
      <c r="N104" s="37" t="s">
        <v>1813</v>
      </c>
      <c r="O104" s="32" t="str">
        <f>IFERROR(VLOOKUP($G104,[1]DB2!$A:$B,2,0),"공동과책 확인")</f>
        <v>Han, Haejin</v>
      </c>
      <c r="P104" s="32" t="s">
        <v>1617</v>
      </c>
      <c r="Q104" s="32" t="s">
        <v>1621</v>
      </c>
      <c r="R104" s="32" t="str">
        <f>IFERROR(VLOOKUP($I104,[1]DB2!$F$2:$I$58,2,0),"옛날 부서명 확인")</f>
        <v xml:space="preserve">Water Management Division </v>
      </c>
      <c r="S104" s="32" t="str">
        <f>IFERROR(VLOOKUP($I104,[1]DB2!$F$2:$I$58,4,0),"옛날 부서명 확인")</f>
        <v xml:space="preserve">Land and Environment Research Group </v>
      </c>
    </row>
    <row r="105" spans="1:19" ht="18" customHeight="1">
      <c r="A105" s="15" t="s">
        <v>635</v>
      </c>
      <c r="B105" s="15" t="s">
        <v>840</v>
      </c>
      <c r="C105" s="15" t="s">
        <v>859</v>
      </c>
      <c r="D105" s="16" t="s">
        <v>860</v>
      </c>
      <c r="E105" s="16"/>
      <c r="F105" s="16" t="s">
        <v>484</v>
      </c>
      <c r="G105" s="15" t="s">
        <v>485</v>
      </c>
      <c r="H105" s="16" t="s">
        <v>486</v>
      </c>
      <c r="I105" s="16" t="s">
        <v>487</v>
      </c>
      <c r="J105" s="17">
        <v>45000000</v>
      </c>
      <c r="K105" s="18">
        <v>45658</v>
      </c>
      <c r="L105" s="18">
        <v>45961</v>
      </c>
      <c r="M105" s="16"/>
      <c r="N105" s="37" t="s">
        <v>1814</v>
      </c>
      <c r="O105" s="32" t="str">
        <f>IFERROR(VLOOKUP($G105,[1]DB2!$A:$B,2,0),"공동과책 확인")</f>
        <v>Lee, Sangbum</v>
      </c>
      <c r="P105" s="32" t="s">
        <v>1618</v>
      </c>
      <c r="Q105" s="32" t="s">
        <v>2256</v>
      </c>
      <c r="R105" s="32" t="str">
        <f>IFERROR(VLOOKUP($I105,[1]DB2!$F$2:$I$58,2,0),"옛날 부서명 확인")</f>
        <v xml:space="preserve">Environmental Assessment Group </v>
      </c>
      <c r="S105" s="32" t="str">
        <f>IFERROR(VLOOKUP($I105,[1]DB2!$F$2:$I$58,4,0),"옛날 부서명 확인")</f>
        <v xml:space="preserve">Environmental Assessment Group </v>
      </c>
    </row>
    <row r="106" spans="1:19" ht="18" customHeight="1">
      <c r="A106" s="15" t="s">
        <v>638</v>
      </c>
      <c r="B106" s="15" t="s">
        <v>840</v>
      </c>
      <c r="C106" s="15" t="s">
        <v>862</v>
      </c>
      <c r="D106" s="16" t="s">
        <v>863</v>
      </c>
      <c r="E106" s="16"/>
      <c r="F106" s="16" t="s">
        <v>284</v>
      </c>
      <c r="G106" s="15" t="s">
        <v>285</v>
      </c>
      <c r="H106" s="16" t="s">
        <v>38</v>
      </c>
      <c r="I106" s="16" t="s">
        <v>39</v>
      </c>
      <c r="J106" s="17">
        <v>30000000</v>
      </c>
      <c r="K106" s="18">
        <v>45658</v>
      </c>
      <c r="L106" s="18">
        <v>46022</v>
      </c>
      <c r="M106" s="16"/>
      <c r="N106" s="37" t="s">
        <v>1740</v>
      </c>
      <c r="O106" s="32" t="str">
        <f>IFERROR(VLOOKUP($G106,[1]DB2!$A:$B,2,0),"공동과책 확인")</f>
        <v>Chung, Woo Hyun</v>
      </c>
      <c r="P106" s="32" t="s">
        <v>2255</v>
      </c>
      <c r="Q106" s="32" t="s">
        <v>1622</v>
      </c>
      <c r="R106" s="32" t="str">
        <f>IFERROR(VLOOKUP($I106,[1]DB2!$F$2:$I$58,2,0),"옛날 부서명 확인")</f>
        <v xml:space="preserve">Living Environment and Society Division </v>
      </c>
      <c r="S106" s="32" t="str">
        <f>IFERROR(VLOOKUP($I106,[1]DB2!$F$2:$I$58,4,0),"옛날 부서명 확인")</f>
        <v xml:space="preserve">Sustainable Development Research Group  </v>
      </c>
    </row>
    <row r="107" spans="1:19" ht="18" customHeight="1">
      <c r="A107" s="15" t="s">
        <v>643</v>
      </c>
      <c r="B107" s="15" t="s">
        <v>840</v>
      </c>
      <c r="C107" s="15" t="s">
        <v>864</v>
      </c>
      <c r="D107" s="16" t="s">
        <v>865</v>
      </c>
      <c r="E107" s="16"/>
      <c r="F107" s="16" t="s">
        <v>225</v>
      </c>
      <c r="G107" s="15" t="s">
        <v>866</v>
      </c>
      <c r="H107" s="16" t="s">
        <v>243</v>
      </c>
      <c r="I107" s="16" t="s">
        <v>147</v>
      </c>
      <c r="J107" s="17">
        <v>30000000</v>
      </c>
      <c r="K107" s="18">
        <v>45658</v>
      </c>
      <c r="L107" s="18">
        <v>45961</v>
      </c>
      <c r="M107" s="16"/>
      <c r="N107" s="37" t="s">
        <v>1741</v>
      </c>
      <c r="O107" s="32" t="s">
        <v>2301</v>
      </c>
      <c r="P107" s="32" t="s">
        <v>1615</v>
      </c>
      <c r="Q107" s="32"/>
      <c r="R107" s="32" t="str">
        <f>IFERROR(VLOOKUP($I107,[1]DB2!$F$2:$I$58,2,0),"옛날 부서명 확인")</f>
        <v xml:space="preserve">Environmental Health Division </v>
      </c>
      <c r="S107" s="32" t="str">
        <f>IFERROR(VLOOKUP($I107,[1]DB2!$F$2:$I$58,4,0),"옛날 부서명 확인")</f>
        <v xml:space="preserve">Sustainable Development Research Group  </v>
      </c>
    </row>
    <row r="108" spans="1:19" ht="18" customHeight="1">
      <c r="A108" s="15" t="s">
        <v>647</v>
      </c>
      <c r="B108" s="15" t="s">
        <v>840</v>
      </c>
      <c r="C108" s="15" t="s">
        <v>868</v>
      </c>
      <c r="D108" s="16" t="s">
        <v>869</v>
      </c>
      <c r="E108" s="16"/>
      <c r="F108" s="16" t="s">
        <v>399</v>
      </c>
      <c r="G108" s="15" t="s">
        <v>400</v>
      </c>
      <c r="H108" s="16" t="s">
        <v>343</v>
      </c>
      <c r="I108" s="16" t="s">
        <v>191</v>
      </c>
      <c r="J108" s="17">
        <v>30000000</v>
      </c>
      <c r="K108" s="18">
        <v>45658</v>
      </c>
      <c r="L108" s="18">
        <v>45961</v>
      </c>
      <c r="M108" s="16"/>
      <c r="N108" s="37" t="s">
        <v>1742</v>
      </c>
      <c r="O108" s="32" t="str">
        <f>IFERROR(VLOOKUP($G108,[1]DB2!$A:$B,2,0),"공동과책 확인")</f>
        <v>Lee, Seungmin</v>
      </c>
      <c r="P108" s="32" t="s">
        <v>1616</v>
      </c>
      <c r="Q108" s="32" t="s">
        <v>2255</v>
      </c>
      <c r="R108" s="32" t="str">
        <f>IFERROR(VLOOKUP($I108,[1]DB2!$F$2:$I$58,2,0),"옛날 부서명 확인")</f>
        <v>Atmospheric Environment Division</v>
      </c>
      <c r="S108" s="32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5" t="s">
        <v>650</v>
      </c>
      <c r="B109" s="15" t="s">
        <v>840</v>
      </c>
      <c r="C109" s="15" t="s">
        <v>870</v>
      </c>
      <c r="D109" s="16" t="s">
        <v>1809</v>
      </c>
      <c r="E109" s="16"/>
      <c r="F109" s="16" t="s">
        <v>91</v>
      </c>
      <c r="G109" s="15" t="s">
        <v>92</v>
      </c>
      <c r="H109" s="16" t="s">
        <v>198</v>
      </c>
      <c r="I109" s="16" t="s">
        <v>199</v>
      </c>
      <c r="J109" s="17">
        <v>30000000</v>
      </c>
      <c r="K109" s="18">
        <v>45658</v>
      </c>
      <c r="L109" s="18">
        <v>46022</v>
      </c>
      <c r="M109" s="16"/>
      <c r="N109" s="37" t="s">
        <v>1810</v>
      </c>
      <c r="O109" s="32" t="str">
        <f>IFERROR(VLOOKUP($G109,[1]DB2!$A:$B,2,0),"공동과책 확인")</f>
        <v>Kim, Ikjae</v>
      </c>
      <c r="P109" s="32" t="s">
        <v>1617</v>
      </c>
      <c r="Q109" s="32" t="s">
        <v>1614</v>
      </c>
      <c r="R109" s="32" t="str">
        <f>IFERROR(VLOOKUP($I109,[1]DB2!$F$2:$I$58,2,0),"옛날 부서명 확인")</f>
        <v xml:space="preserve">Water Management Division </v>
      </c>
      <c r="S109" s="32" t="str">
        <f>IFERROR(VLOOKUP($I109,[1]DB2!$F$2:$I$58,4,0),"옛날 부서명 확인")</f>
        <v xml:space="preserve">Land and Environment Research Group </v>
      </c>
    </row>
    <row r="110" spans="1:19" ht="18" customHeight="1">
      <c r="A110" s="15" t="s">
        <v>653</v>
      </c>
      <c r="B110" s="15" t="s">
        <v>840</v>
      </c>
      <c r="C110" s="15" t="s">
        <v>872</v>
      </c>
      <c r="D110" s="16" t="s">
        <v>1805</v>
      </c>
      <c r="E110" s="16"/>
      <c r="F110" s="16" t="s">
        <v>260</v>
      </c>
      <c r="G110" s="15" t="s">
        <v>261</v>
      </c>
      <c r="H110" s="16" t="s">
        <v>254</v>
      </c>
      <c r="I110" s="16" t="s">
        <v>255</v>
      </c>
      <c r="J110" s="17">
        <v>30000000</v>
      </c>
      <c r="K110" s="18">
        <v>45658</v>
      </c>
      <c r="L110" s="18">
        <v>45961</v>
      </c>
      <c r="M110" s="16"/>
      <c r="N110" s="38" t="s">
        <v>2013</v>
      </c>
      <c r="O110" s="32" t="str">
        <f>IFERROR(VLOOKUP($G110,[1]DB2!$A:$B,2,0),"공동과책 확인")</f>
        <v xml:space="preserve">Yi, Sora </v>
      </c>
      <c r="P110" s="32" t="s">
        <v>1613</v>
      </c>
      <c r="Q110" s="32" t="s">
        <v>1621</v>
      </c>
      <c r="R110" s="32" t="str">
        <f>IFERROR(VLOOKUP($I110,[1]DB2!$F$2:$I$58,2,0),"옛날 부서명 확인")</f>
        <v xml:space="preserve">Circular Economy Division </v>
      </c>
      <c r="S110" s="32" t="str">
        <f>IFERROR(VLOOKUP($I110,[1]DB2!$F$2:$I$58,4,0),"옛날 부서명 확인")</f>
        <v xml:space="preserve">Sustainable Development Research Group  </v>
      </c>
    </row>
    <row r="111" spans="1:19" ht="18" customHeight="1">
      <c r="A111" s="15" t="s">
        <v>659</v>
      </c>
      <c r="B111" s="15" t="s">
        <v>840</v>
      </c>
      <c r="C111" s="15" t="s">
        <v>873</v>
      </c>
      <c r="D111" s="16" t="s">
        <v>874</v>
      </c>
      <c r="E111" s="16"/>
      <c r="F111" s="16" t="s">
        <v>341</v>
      </c>
      <c r="G111" s="15" t="s">
        <v>523</v>
      </c>
      <c r="H111" s="16" t="s">
        <v>343</v>
      </c>
      <c r="I111" s="16" t="s">
        <v>191</v>
      </c>
      <c r="J111" s="17">
        <v>30000000</v>
      </c>
      <c r="K111" s="18">
        <v>45658</v>
      </c>
      <c r="L111" s="18">
        <v>46022</v>
      </c>
      <c r="M111" s="16"/>
      <c r="N111" s="37" t="s">
        <v>1743</v>
      </c>
      <c r="O111" s="32" t="str">
        <f>IFERROR(VLOOKUP($G111,[1]DB2!$A:$B,2,0),"공동과책 확인")</f>
        <v xml:space="preserve">Han, Jihyun </v>
      </c>
      <c r="P111" s="32" t="s">
        <v>1616</v>
      </c>
      <c r="Q111" s="32" t="s">
        <v>2257</v>
      </c>
      <c r="R111" s="32" t="str">
        <f>IFERROR(VLOOKUP($I111,[1]DB2!$F$2:$I$58,2,0),"옛날 부서명 확인")</f>
        <v>Atmospheric Environment Division</v>
      </c>
      <c r="S111" s="32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5" t="s">
        <v>662</v>
      </c>
      <c r="B112" s="15" t="s">
        <v>840</v>
      </c>
      <c r="C112" s="15" t="s">
        <v>875</v>
      </c>
      <c r="D112" s="16" t="s">
        <v>876</v>
      </c>
      <c r="E112" s="16"/>
      <c r="F112" s="16" t="s">
        <v>144</v>
      </c>
      <c r="G112" s="15" t="s">
        <v>877</v>
      </c>
      <c r="H112" s="16" t="s">
        <v>527</v>
      </c>
      <c r="I112" s="16" t="s">
        <v>528</v>
      </c>
      <c r="J112" s="17">
        <v>30000000</v>
      </c>
      <c r="K112" s="18">
        <v>45658</v>
      </c>
      <c r="L112" s="18">
        <v>45961</v>
      </c>
      <c r="M112" s="16"/>
      <c r="N112" s="37" t="s">
        <v>1744</v>
      </c>
      <c r="O112" s="32" t="s">
        <v>2302</v>
      </c>
      <c r="P112" s="32" t="s">
        <v>1615</v>
      </c>
      <c r="Q112" s="32" t="s">
        <v>1619</v>
      </c>
      <c r="R112" s="32" t="str">
        <f>IFERROR(VLOOKUP($I112,[1]DB2!$F$2:$I$58,2,0),"옛날 부서명 확인")</f>
        <v xml:space="preserve">Sustainable Development Research Group  </v>
      </c>
      <c r="S112" s="32" t="str">
        <f>IFERROR(VLOOKUP($I112,[1]DB2!$F$2:$I$58,4,0),"옛날 부서명 확인")</f>
        <v xml:space="preserve">Sustainable Development Research Group  </v>
      </c>
    </row>
    <row r="113" spans="1:19" ht="18" customHeight="1">
      <c r="A113" s="15" t="s">
        <v>671</v>
      </c>
      <c r="B113" s="15" t="s">
        <v>840</v>
      </c>
      <c r="C113" s="15" t="s">
        <v>882</v>
      </c>
      <c r="D113" s="16" t="s">
        <v>883</v>
      </c>
      <c r="E113" s="16"/>
      <c r="F113" s="16" t="s">
        <v>121</v>
      </c>
      <c r="G113" s="15" t="s">
        <v>122</v>
      </c>
      <c r="H113" s="16" t="s">
        <v>425</v>
      </c>
      <c r="I113" s="16" t="s">
        <v>124</v>
      </c>
      <c r="J113" s="17">
        <v>300276000</v>
      </c>
      <c r="K113" s="18">
        <v>45658</v>
      </c>
      <c r="L113" s="18">
        <v>46022</v>
      </c>
      <c r="M113" s="16"/>
      <c r="N113" s="37" t="s">
        <v>1745</v>
      </c>
      <c r="O113" s="32" t="str">
        <f>IFERROR(VLOOKUP($G113,[1]DB2!$A:$B,2,0),"공동과책 확인")</f>
        <v>Kim, Sungjin</v>
      </c>
      <c r="P113" s="32" t="s">
        <v>2255</v>
      </c>
      <c r="Q113" s="32" t="s">
        <v>1616</v>
      </c>
      <c r="R113" s="32" t="str">
        <f>IFERROR(VLOOKUP($I113,[1]DB2!$F$2:$I$58,2,0),"옛날 부서명 확인")</f>
        <v xml:space="preserve">Carbon Neutrality Division </v>
      </c>
      <c r="S113" s="32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5" t="s">
        <v>690</v>
      </c>
      <c r="B114" s="15" t="s">
        <v>21</v>
      </c>
      <c r="C114" s="15" t="s">
        <v>404</v>
      </c>
      <c r="D114" s="16" t="s">
        <v>405</v>
      </c>
      <c r="E114" s="16"/>
      <c r="F114" s="16" t="s">
        <v>406</v>
      </c>
      <c r="G114" s="15" t="s">
        <v>407</v>
      </c>
      <c r="H114" s="16" t="s">
        <v>408</v>
      </c>
      <c r="I114" s="16" t="s">
        <v>409</v>
      </c>
      <c r="J114" s="17">
        <v>127272730</v>
      </c>
      <c r="K114" s="18">
        <v>45672</v>
      </c>
      <c r="L114" s="18">
        <v>46095</v>
      </c>
      <c r="M114" s="16" t="s">
        <v>410</v>
      </c>
      <c r="N114" s="37" t="s">
        <v>2526</v>
      </c>
      <c r="O114" s="32" t="str">
        <f>IFERROR(VLOOKUP($G114,[1]DB2!$A:$B,2,0),"공동과책 확인")</f>
        <v>Baek, Donghae</v>
      </c>
      <c r="P114" s="32" t="s">
        <v>1614</v>
      </c>
      <c r="Q114" s="32" t="s">
        <v>1617</v>
      </c>
      <c r="R114" s="32" t="str">
        <f>IFERROR(VLOOKUP($I114,[1]DB2!$F$2:$I$58,2,0),"옛날 부서명 확인")</f>
        <v xml:space="preserve">Land Strategy Assessment Division </v>
      </c>
      <c r="S114" s="32" t="str">
        <f>IFERROR(VLOOKUP($I114,[1]DB2!$F$2:$I$58,4,0),"옛날 부서명 확인")</f>
        <v xml:space="preserve">Environmental Assessment Group </v>
      </c>
    </row>
    <row r="115" spans="1:19" ht="18" customHeight="1">
      <c r="A115" s="15" t="s">
        <v>693</v>
      </c>
      <c r="B115" s="15" t="s">
        <v>21</v>
      </c>
      <c r="C115" s="15" t="s">
        <v>412</v>
      </c>
      <c r="D115" s="16" t="s">
        <v>413</v>
      </c>
      <c r="E115" s="16"/>
      <c r="F115" s="16" t="s">
        <v>278</v>
      </c>
      <c r="G115" s="15" t="s">
        <v>279</v>
      </c>
      <c r="H115" s="16" t="s">
        <v>198</v>
      </c>
      <c r="I115" s="16" t="s">
        <v>199</v>
      </c>
      <c r="J115" s="17">
        <v>98259300</v>
      </c>
      <c r="K115" s="18">
        <v>45674</v>
      </c>
      <c r="L115" s="18">
        <v>45972</v>
      </c>
      <c r="M115" s="16" t="s">
        <v>47</v>
      </c>
      <c r="N115" s="37" t="s">
        <v>1670</v>
      </c>
      <c r="O115" s="32" t="str">
        <f>IFERROR(VLOOKUP($G115,[1]DB2!$A:$B,2,0),"공동과책 확인")</f>
        <v>Ryu, Jaena</v>
      </c>
      <c r="P115" s="32" t="s">
        <v>1617</v>
      </c>
      <c r="Q115" s="32" t="s">
        <v>2256</v>
      </c>
      <c r="R115" s="32" t="str">
        <f>IFERROR(VLOOKUP($I115,[1]DB2!$F$2:$I$58,2,0),"옛날 부서명 확인")</f>
        <v xml:space="preserve">Water Management Division </v>
      </c>
      <c r="S115" s="32" t="str">
        <f>IFERROR(VLOOKUP($I115,[1]DB2!$F$2:$I$58,4,0),"옛날 부서명 확인")</f>
        <v xml:space="preserve">Land and Environment Research Group </v>
      </c>
    </row>
    <row r="116" spans="1:19" ht="18" customHeight="1">
      <c r="A116" s="15" t="s">
        <v>697</v>
      </c>
      <c r="B116" s="15" t="s">
        <v>953</v>
      </c>
      <c r="C116" s="15" t="s">
        <v>958</v>
      </c>
      <c r="D116" s="16" t="s">
        <v>959</v>
      </c>
      <c r="E116" s="16"/>
      <c r="F116" s="16" t="s">
        <v>561</v>
      </c>
      <c r="G116" s="15" t="s">
        <v>562</v>
      </c>
      <c r="H116" s="16" t="s">
        <v>732</v>
      </c>
      <c r="I116" s="16" t="s">
        <v>255</v>
      </c>
      <c r="J116" s="17">
        <v>15000000</v>
      </c>
      <c r="K116" s="18">
        <v>45677</v>
      </c>
      <c r="L116" s="18">
        <v>45857</v>
      </c>
      <c r="M116" s="16"/>
      <c r="N116" s="37" t="s">
        <v>1762</v>
      </c>
      <c r="O116" s="32" t="str">
        <f>IFERROR(VLOOKUP($G116,[1]DB2!$A:$B,2,0),"공동과책 확인")</f>
        <v>Jo, Ji Hye</v>
      </c>
      <c r="P116" s="32" t="s">
        <v>1613</v>
      </c>
      <c r="Q116" s="32" t="s">
        <v>1621</v>
      </c>
      <c r="R116" s="32" t="str">
        <f>IFERROR(VLOOKUP($I116,[1]DB2!$F$2:$I$58,2,0),"옛날 부서명 확인")</f>
        <v xml:space="preserve">Circular Economy Division </v>
      </c>
      <c r="S116" s="32" t="str">
        <f>IFERROR(VLOOKUP($I116,[1]DB2!$F$2:$I$58,4,0),"옛날 부서명 확인")</f>
        <v xml:space="preserve">Sustainable Development Research Group  </v>
      </c>
    </row>
    <row r="117" spans="1:19" ht="18" customHeight="1">
      <c r="A117" s="15" t="s">
        <v>700</v>
      </c>
      <c r="B117" s="15" t="s">
        <v>953</v>
      </c>
      <c r="C117" s="15" t="s">
        <v>960</v>
      </c>
      <c r="D117" s="16" t="s">
        <v>2347</v>
      </c>
      <c r="E117" s="16"/>
      <c r="F117" s="16" t="s">
        <v>667</v>
      </c>
      <c r="G117" s="15" t="s">
        <v>668</v>
      </c>
      <c r="H117" s="16" t="s">
        <v>99</v>
      </c>
      <c r="I117" s="16" t="s">
        <v>333</v>
      </c>
      <c r="J117" s="17">
        <v>15000000</v>
      </c>
      <c r="K117" s="18">
        <v>45677</v>
      </c>
      <c r="L117" s="18">
        <v>45857</v>
      </c>
      <c r="M117" s="16"/>
      <c r="N117" s="37" t="s">
        <v>1763</v>
      </c>
      <c r="O117" s="32" t="str">
        <f>IFERROR(VLOOKUP($G117,[1]DB2!$A:$B,2,0),"공동과책 확인")</f>
        <v>Kang, Taek Goo</v>
      </c>
      <c r="P117" s="32" t="s">
        <v>2255</v>
      </c>
      <c r="Q117" s="32" t="s">
        <v>2258</v>
      </c>
      <c r="R117" s="32" t="str">
        <f>IFERROR(VLOOKUP($I117,[1]DB2!$F$2:$I$58,2,0),"옛날 부서명 확인")</f>
        <v xml:space="preserve">Green Economy Division </v>
      </c>
      <c r="S117" s="32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5" t="s">
        <v>702</v>
      </c>
      <c r="B118" s="15" t="s">
        <v>953</v>
      </c>
      <c r="C118" s="15" t="s">
        <v>961</v>
      </c>
      <c r="D118" s="16" t="s">
        <v>962</v>
      </c>
      <c r="E118" s="16"/>
      <c r="F118" s="16" t="s">
        <v>225</v>
      </c>
      <c r="G118" s="15" t="s">
        <v>226</v>
      </c>
      <c r="H118" s="16" t="s">
        <v>146</v>
      </c>
      <c r="I118" s="16" t="s">
        <v>147</v>
      </c>
      <c r="J118" s="17">
        <v>15000000</v>
      </c>
      <c r="K118" s="18">
        <v>45677</v>
      </c>
      <c r="L118" s="18">
        <v>45857</v>
      </c>
      <c r="M118" s="16"/>
      <c r="N118" s="37" t="s">
        <v>2348</v>
      </c>
      <c r="O118" s="32" t="str">
        <f>IFERROR(VLOOKUP($G118,[1]DB2!$A:$B,2,0),"공동과책 확인")</f>
        <v xml:space="preserve">Jung, Dawoon </v>
      </c>
      <c r="P118" s="32" t="s">
        <v>1615</v>
      </c>
      <c r="Q118" s="32" t="s">
        <v>1622</v>
      </c>
      <c r="R118" s="32" t="str">
        <f>IFERROR(VLOOKUP($I118,[1]DB2!$F$2:$I$58,2,0),"옛날 부서명 확인")</f>
        <v xml:space="preserve">Environmental Health Division </v>
      </c>
      <c r="S118" s="32" t="str">
        <f>IFERROR(VLOOKUP($I118,[1]DB2!$F$2:$I$58,4,0),"옛날 부서명 확인")</f>
        <v xml:space="preserve">Sustainable Development Research Group  </v>
      </c>
    </row>
    <row r="119" spans="1:19" ht="18" customHeight="1">
      <c r="A119" s="15" t="s">
        <v>704</v>
      </c>
      <c r="B119" s="15" t="s">
        <v>21</v>
      </c>
      <c r="C119" s="15" t="s">
        <v>415</v>
      </c>
      <c r="D119" s="16" t="s">
        <v>416</v>
      </c>
      <c r="E119" s="16"/>
      <c r="F119" s="16" t="s">
        <v>214</v>
      </c>
      <c r="G119" s="15" t="s">
        <v>215</v>
      </c>
      <c r="H119" s="16" t="s">
        <v>198</v>
      </c>
      <c r="I119" s="16" t="s">
        <v>199</v>
      </c>
      <c r="J119" s="17">
        <v>308636360</v>
      </c>
      <c r="K119" s="18">
        <v>45681</v>
      </c>
      <c r="L119" s="18">
        <v>45980</v>
      </c>
      <c r="M119" s="16" t="s">
        <v>47</v>
      </c>
      <c r="N119" s="37" t="s">
        <v>1671</v>
      </c>
      <c r="O119" s="32" t="str">
        <f>IFERROR(VLOOKUP($G119,[1]DB2!$A:$B,2,0),"공동과책 확인")</f>
        <v>Han, Haejin</v>
      </c>
      <c r="P119" s="32" t="s">
        <v>1617</v>
      </c>
      <c r="Q119" s="32"/>
      <c r="R119" s="32" t="str">
        <f>IFERROR(VLOOKUP($I119,[1]DB2!$F$2:$I$58,2,0),"옛날 부서명 확인")</f>
        <v xml:space="preserve">Water Management Division </v>
      </c>
      <c r="S119" s="32" t="str">
        <f>IFERROR(VLOOKUP($I119,[1]DB2!$F$2:$I$58,4,0),"옛날 부서명 확인")</f>
        <v xml:space="preserve">Land and Environment Research Group </v>
      </c>
    </row>
    <row r="120" spans="1:19" ht="18" customHeight="1">
      <c r="A120" s="15" t="s">
        <v>707</v>
      </c>
      <c r="B120" s="15" t="s">
        <v>21</v>
      </c>
      <c r="C120" s="15" t="s">
        <v>423</v>
      </c>
      <c r="D120" s="16" t="s">
        <v>424</v>
      </c>
      <c r="E120" s="16"/>
      <c r="F120" s="16" t="s">
        <v>121</v>
      </c>
      <c r="G120" s="15" t="s">
        <v>122</v>
      </c>
      <c r="H120" s="16" t="s">
        <v>425</v>
      </c>
      <c r="I120" s="16" t="s">
        <v>124</v>
      </c>
      <c r="J120" s="17">
        <v>272727270</v>
      </c>
      <c r="K120" s="18">
        <v>45685</v>
      </c>
      <c r="L120" s="18">
        <v>45895</v>
      </c>
      <c r="M120" s="16" t="s">
        <v>266</v>
      </c>
      <c r="N120" s="37" t="s">
        <v>1673</v>
      </c>
      <c r="O120" s="32" t="str">
        <f>IFERROR(VLOOKUP($G120,[1]DB2!$A:$B,2,0),"공동과책 확인")</f>
        <v>Kim, Sungjin</v>
      </c>
      <c r="P120" s="32" t="s">
        <v>2255</v>
      </c>
      <c r="Q120" s="32"/>
      <c r="R120" s="32" t="str">
        <f>IFERROR(VLOOKUP($I120,[1]DB2!$F$2:$I$58,2,0),"옛날 부서명 확인")</f>
        <v xml:space="preserve">Carbon Neutrality Division </v>
      </c>
      <c r="S120" s="32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5" t="s">
        <v>710</v>
      </c>
      <c r="B121" s="15" t="s">
        <v>21</v>
      </c>
      <c r="C121" s="15" t="s">
        <v>418</v>
      </c>
      <c r="D121" s="16" t="s">
        <v>419</v>
      </c>
      <c r="E121" s="16"/>
      <c r="F121" s="16" t="s">
        <v>420</v>
      </c>
      <c r="G121" s="15" t="s">
        <v>421</v>
      </c>
      <c r="H121" s="16" t="s">
        <v>382</v>
      </c>
      <c r="I121" s="16" t="s">
        <v>383</v>
      </c>
      <c r="J121" s="17">
        <v>49600000</v>
      </c>
      <c r="K121" s="18">
        <v>45695</v>
      </c>
      <c r="L121" s="18">
        <v>45994</v>
      </c>
      <c r="M121" s="16" t="s">
        <v>47</v>
      </c>
      <c r="N121" s="37" t="s">
        <v>1672</v>
      </c>
      <c r="O121" s="32" t="str">
        <f>IFERROR(VLOOKUP($G121,[1]DB2!$A:$B,2,0),"공동과책 확인")</f>
        <v>Kim, Kyoung-Ho</v>
      </c>
      <c r="P121" s="32" t="s">
        <v>1618</v>
      </c>
      <c r="Q121" s="32"/>
      <c r="R121" s="32" t="str">
        <f>IFERROR(VLOOKUP($I121,[1]DB2!$F$2:$I$58,2,0),"옛날 부서명 확인")</f>
        <v xml:space="preserve">Social Infrastructure Assessment Division </v>
      </c>
      <c r="S121" s="32" t="str">
        <f>IFERROR(VLOOKUP($I121,[1]DB2!$F$2:$I$58,4,0),"옛날 부서명 확인")</f>
        <v xml:space="preserve">Environmental Assessment Group </v>
      </c>
    </row>
    <row r="122" spans="1:19" ht="18" customHeight="1">
      <c r="A122" s="15" t="s">
        <v>712</v>
      </c>
      <c r="B122" s="15" t="s">
        <v>21</v>
      </c>
      <c r="C122" s="15" t="s">
        <v>438</v>
      </c>
      <c r="D122" s="16" t="s">
        <v>439</v>
      </c>
      <c r="E122" s="16"/>
      <c r="F122" s="16" t="s">
        <v>247</v>
      </c>
      <c r="G122" s="15" t="s">
        <v>248</v>
      </c>
      <c r="H122" s="16" t="s">
        <v>394</v>
      </c>
      <c r="I122" s="16" t="s">
        <v>395</v>
      </c>
      <c r="J122" s="17">
        <v>78600000</v>
      </c>
      <c r="K122" s="18">
        <v>45705</v>
      </c>
      <c r="L122" s="18">
        <v>46003</v>
      </c>
      <c r="M122" s="16" t="s">
        <v>47</v>
      </c>
      <c r="N122" s="37" t="s">
        <v>1676</v>
      </c>
      <c r="O122" s="32" t="str">
        <f>IFERROR(VLOOKUP($G122,[1]DB2!$A:$B,2,0),"공동과책 확인")</f>
        <v xml:space="preserve">Yang, Kyung </v>
      </c>
      <c r="P122" s="32" t="s">
        <v>1618</v>
      </c>
      <c r="Q122" s="32"/>
      <c r="R122" s="32" t="str">
        <f>IFERROR(VLOOKUP($I122,[1]DB2!$F$2:$I$58,2,0),"옛날 부서명 확인")</f>
        <v xml:space="preserve">Climate and Energy Assessment Division </v>
      </c>
      <c r="S122" s="32" t="str">
        <f>IFERROR(VLOOKUP($I122,[1]DB2!$F$2:$I$58,4,0),"옛날 부서명 확인")</f>
        <v xml:space="preserve">Environmental Assessment Group </v>
      </c>
    </row>
    <row r="123" spans="1:19" ht="18" customHeight="1">
      <c r="A123" s="15" t="s">
        <v>717</v>
      </c>
      <c r="B123" s="15" t="s">
        <v>21</v>
      </c>
      <c r="C123" s="15" t="s">
        <v>454</v>
      </c>
      <c r="D123" s="16" t="s">
        <v>455</v>
      </c>
      <c r="E123" s="16"/>
      <c r="F123" s="16" t="s">
        <v>260</v>
      </c>
      <c r="G123" s="15" t="s">
        <v>261</v>
      </c>
      <c r="H123" s="16" t="s">
        <v>254</v>
      </c>
      <c r="I123" s="16" t="s">
        <v>255</v>
      </c>
      <c r="J123" s="17">
        <v>152000000</v>
      </c>
      <c r="K123" s="18">
        <v>45712</v>
      </c>
      <c r="L123" s="18">
        <v>45982</v>
      </c>
      <c r="M123" s="16" t="s">
        <v>131</v>
      </c>
      <c r="N123" s="37" t="s">
        <v>1681</v>
      </c>
      <c r="O123" s="32" t="str">
        <f>IFERROR(VLOOKUP($G123,[1]DB2!$A:$B,2,0),"공동과책 확인")</f>
        <v xml:space="preserve">Yi, Sora </v>
      </c>
      <c r="P123" s="32" t="s">
        <v>1613</v>
      </c>
      <c r="Q123" s="32" t="s">
        <v>2158</v>
      </c>
      <c r="R123" s="32" t="str">
        <f>IFERROR(VLOOKUP($I123,[1]DB2!$F$2:$I$58,2,0),"옛날 부서명 확인")</f>
        <v xml:space="preserve">Circular Economy Division </v>
      </c>
      <c r="S123" s="32" t="str">
        <f>IFERROR(VLOOKUP($I123,[1]DB2!$F$2:$I$58,4,0),"옛날 부서명 확인")</f>
        <v xml:space="preserve">Sustainable Development Research Group  </v>
      </c>
    </row>
    <row r="124" spans="1:19" ht="18" customHeight="1">
      <c r="A124" s="15" t="s">
        <v>720</v>
      </c>
      <c r="B124" s="15" t="s">
        <v>21</v>
      </c>
      <c r="C124" s="15" t="s">
        <v>451</v>
      </c>
      <c r="D124" s="16" t="s">
        <v>452</v>
      </c>
      <c r="E124" s="16"/>
      <c r="F124" s="16" t="s">
        <v>85</v>
      </c>
      <c r="G124" s="15" t="s">
        <v>86</v>
      </c>
      <c r="H124" s="16" t="s">
        <v>394</v>
      </c>
      <c r="I124" s="16" t="s">
        <v>395</v>
      </c>
      <c r="J124" s="17">
        <v>170000000</v>
      </c>
      <c r="K124" s="18">
        <v>45715</v>
      </c>
      <c r="L124" s="18">
        <v>46022</v>
      </c>
      <c r="M124" s="16" t="s">
        <v>88</v>
      </c>
      <c r="N124" s="37" t="s">
        <v>1680</v>
      </c>
      <c r="O124" s="32" t="str">
        <f>IFERROR(VLOOKUP($G124,[1]DB2!$A:$B,2,0),"공동과책 확인")</f>
        <v>Kim, Taeyun</v>
      </c>
      <c r="P124" s="32" t="s">
        <v>1618</v>
      </c>
      <c r="Q124" s="32" t="s">
        <v>2255</v>
      </c>
      <c r="R124" s="32" t="str">
        <f>IFERROR(VLOOKUP($I124,[1]DB2!$F$2:$I$58,2,0),"옛날 부서명 확인")</f>
        <v xml:space="preserve">Climate and Energy Assessment Division </v>
      </c>
      <c r="S124" s="32" t="str">
        <f>IFERROR(VLOOKUP($I124,[1]DB2!$F$2:$I$58,4,0),"옛날 부서명 확인")</f>
        <v xml:space="preserve">Environmental Assessment Group </v>
      </c>
    </row>
    <row r="125" spans="1:19" ht="18" customHeight="1">
      <c r="A125" s="15" t="s">
        <v>723</v>
      </c>
      <c r="B125" s="15" t="s">
        <v>21</v>
      </c>
      <c r="C125" s="15" t="s">
        <v>457</v>
      </c>
      <c r="D125" s="16" t="s">
        <v>458</v>
      </c>
      <c r="E125" s="16"/>
      <c r="F125" s="16" t="s">
        <v>63</v>
      </c>
      <c r="G125" s="15" t="s">
        <v>64</v>
      </c>
      <c r="H125" s="16" t="s">
        <v>198</v>
      </c>
      <c r="I125" s="16" t="s">
        <v>199</v>
      </c>
      <c r="J125" s="17">
        <v>89350000</v>
      </c>
      <c r="K125" s="18">
        <v>45717</v>
      </c>
      <c r="L125" s="18">
        <v>46081</v>
      </c>
      <c r="M125" s="16" t="s">
        <v>59</v>
      </c>
      <c r="N125" s="37" t="s">
        <v>1682</v>
      </c>
      <c r="O125" s="32" t="str">
        <f>IFERROR(VLOOKUP($G125,[1]DB2!$A:$B,2,0),"공동과책 확인")</f>
        <v xml:space="preserve">Jung, Kichul </v>
      </c>
      <c r="P125" s="32" t="s">
        <v>1617</v>
      </c>
      <c r="Q125" s="32" t="s">
        <v>1621</v>
      </c>
      <c r="R125" s="32" t="str">
        <f>IFERROR(VLOOKUP($I125,[1]DB2!$F$2:$I$58,2,0),"옛날 부서명 확인")</f>
        <v xml:space="preserve">Water Management Division </v>
      </c>
      <c r="S125" s="32" t="str">
        <f>IFERROR(VLOOKUP($I125,[1]DB2!$F$2:$I$58,4,0),"옛날 부서명 확인")</f>
        <v xml:space="preserve">Land and Environment Research Group </v>
      </c>
    </row>
    <row r="126" spans="1:19" ht="18" customHeight="1">
      <c r="A126" s="15" t="s">
        <v>726</v>
      </c>
      <c r="B126" s="15" t="s">
        <v>21</v>
      </c>
      <c r="C126" s="15" t="s">
        <v>489</v>
      </c>
      <c r="D126" s="16" t="s">
        <v>490</v>
      </c>
      <c r="E126" s="16"/>
      <c r="F126" s="16" t="s">
        <v>56</v>
      </c>
      <c r="G126" s="15" t="s">
        <v>57</v>
      </c>
      <c r="H126" s="16" t="s">
        <v>408</v>
      </c>
      <c r="I126" s="16" t="s">
        <v>409</v>
      </c>
      <c r="J126" s="17">
        <v>119950000</v>
      </c>
      <c r="K126" s="18">
        <v>45717</v>
      </c>
      <c r="L126" s="18">
        <v>46535</v>
      </c>
      <c r="M126" s="16" t="s">
        <v>59</v>
      </c>
      <c r="N126" s="37" t="s">
        <v>2313</v>
      </c>
      <c r="O126" s="32" t="str">
        <f>IFERROR(VLOOKUP($G126,[1]DB2!$A:$B,2,0),"공동과책 확인")</f>
        <v>Choi, Yuyoung</v>
      </c>
      <c r="P126" s="32" t="s">
        <v>2257</v>
      </c>
      <c r="Q126" s="32" t="s">
        <v>1614</v>
      </c>
      <c r="R126" s="32" t="str">
        <f>IFERROR(VLOOKUP($I126,[1]DB2!$F$2:$I$58,2,0),"옛날 부서명 확인")</f>
        <v xml:space="preserve">Land Strategy Assessment Division </v>
      </c>
      <c r="S126" s="32" t="str">
        <f>IFERROR(VLOOKUP($I126,[1]DB2!$F$2:$I$58,4,0),"옛날 부서명 확인")</f>
        <v xml:space="preserve">Environmental Assessment Group </v>
      </c>
    </row>
    <row r="127" spans="1:19" ht="18" customHeight="1">
      <c r="A127" s="15" t="s">
        <v>733</v>
      </c>
      <c r="B127" s="15" t="s">
        <v>727</v>
      </c>
      <c r="C127" s="15" t="s">
        <v>764</v>
      </c>
      <c r="D127" s="16" t="s">
        <v>765</v>
      </c>
      <c r="E127" s="16"/>
      <c r="F127" s="16" t="s">
        <v>730</v>
      </c>
      <c r="G127" s="15" t="s">
        <v>731</v>
      </c>
      <c r="H127" s="16" t="s">
        <v>254</v>
      </c>
      <c r="I127" s="16" t="s">
        <v>255</v>
      </c>
      <c r="J127" s="17">
        <v>3000000</v>
      </c>
      <c r="K127" s="18">
        <v>45720</v>
      </c>
      <c r="L127" s="18">
        <v>45903</v>
      </c>
      <c r="M127" s="16"/>
      <c r="N127" s="37" t="s">
        <v>1733</v>
      </c>
      <c r="O127" s="32" t="str">
        <f>IFERROR(VLOOKUP($G127,[1]DB2!$A:$B,2,0),"공동과책 확인")</f>
        <v>Lim, Hyesook</v>
      </c>
      <c r="P127" s="32" t="s">
        <v>1613</v>
      </c>
      <c r="Q127" s="32"/>
      <c r="R127" s="32" t="str">
        <f>IFERROR(VLOOKUP($I127,[1]DB2!$F$2:$I$58,2,0),"옛날 부서명 확인")</f>
        <v xml:space="preserve">Circular Economy Division </v>
      </c>
      <c r="S127" s="32" t="str">
        <f>IFERROR(VLOOKUP($I127,[1]DB2!$F$2:$I$58,4,0),"옛날 부서명 확인")</f>
        <v xml:space="preserve">Sustainable Development Research Group  </v>
      </c>
    </row>
    <row r="128" spans="1:19" ht="18" customHeight="1">
      <c r="A128" s="15" t="s">
        <v>737</v>
      </c>
      <c r="B128" s="15" t="s">
        <v>727</v>
      </c>
      <c r="C128" s="15" t="s">
        <v>767</v>
      </c>
      <c r="D128" s="16" t="s">
        <v>768</v>
      </c>
      <c r="E128" s="16"/>
      <c r="F128" s="16" t="s">
        <v>586</v>
      </c>
      <c r="G128" s="15" t="s">
        <v>587</v>
      </c>
      <c r="H128" s="16" t="s">
        <v>198</v>
      </c>
      <c r="I128" s="16" t="s">
        <v>199</v>
      </c>
      <c r="J128" s="17">
        <v>3000000</v>
      </c>
      <c r="K128" s="18">
        <v>45720</v>
      </c>
      <c r="L128" s="18">
        <v>45903</v>
      </c>
      <c r="M128" s="16"/>
      <c r="N128" s="37" t="s">
        <v>1734</v>
      </c>
      <c r="O128" s="32" t="str">
        <f>IFERROR(VLOOKUP($G128,[1]DB2!$A:$B,2,0),"공동과책 확인")</f>
        <v>Kim, Yeonjoong</v>
      </c>
      <c r="P128" s="32" t="s">
        <v>1619</v>
      </c>
      <c r="Q128" s="32" t="s">
        <v>1620</v>
      </c>
      <c r="R128" s="32" t="str">
        <f>IFERROR(VLOOKUP($I128,[1]DB2!$F$2:$I$58,2,0),"옛날 부서명 확인")</f>
        <v xml:space="preserve">Water Management Division </v>
      </c>
      <c r="S128" s="32" t="str">
        <f>IFERROR(VLOOKUP($I128,[1]DB2!$F$2:$I$58,4,0),"옛날 부서명 확인")</f>
        <v xml:space="preserve">Land and Environment Research Group </v>
      </c>
    </row>
    <row r="129" spans="1:19" ht="18" customHeight="1">
      <c r="A129" s="15" t="s">
        <v>738</v>
      </c>
      <c r="B129" s="15" t="s">
        <v>727</v>
      </c>
      <c r="C129" s="15" t="s">
        <v>770</v>
      </c>
      <c r="D129" s="16" t="s">
        <v>771</v>
      </c>
      <c r="E129" s="16"/>
      <c r="F129" s="16" t="s">
        <v>772</v>
      </c>
      <c r="G129" s="15" t="s">
        <v>773</v>
      </c>
      <c r="H129" s="16" t="s">
        <v>332</v>
      </c>
      <c r="I129" s="16" t="s">
        <v>333</v>
      </c>
      <c r="J129" s="17">
        <v>3000000</v>
      </c>
      <c r="K129" s="18">
        <v>45720</v>
      </c>
      <c r="L129" s="18">
        <v>45903</v>
      </c>
      <c r="M129" s="16"/>
      <c r="N129" s="37" t="s">
        <v>1735</v>
      </c>
      <c r="O129" s="32" t="str">
        <f>IFERROR(VLOOKUP($G129,[1]DB2!$A:$B,2,0),"공동과책 확인")</f>
        <v xml:space="preserve">Kim, Hyunjung </v>
      </c>
      <c r="P129" s="32" t="s">
        <v>1621</v>
      </c>
      <c r="Q129" s="32" t="s">
        <v>1622</v>
      </c>
      <c r="R129" s="32" t="str">
        <f>IFERROR(VLOOKUP($I129,[1]DB2!$F$2:$I$58,2,0),"옛날 부서명 확인")</f>
        <v xml:space="preserve">Green Economy Division </v>
      </c>
      <c r="S129" s="32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5" t="s">
        <v>739</v>
      </c>
      <c r="B130" s="15" t="s">
        <v>21</v>
      </c>
      <c r="C130" s="15" t="s">
        <v>479</v>
      </c>
      <c r="D130" s="16" t="s">
        <v>480</v>
      </c>
      <c r="E130" s="16"/>
      <c r="F130" s="16" t="s">
        <v>44</v>
      </c>
      <c r="G130" s="15" t="s">
        <v>45</v>
      </c>
      <c r="H130" s="16" t="s">
        <v>208</v>
      </c>
      <c r="I130" s="16" t="s">
        <v>209</v>
      </c>
      <c r="J130" s="17">
        <v>143600000</v>
      </c>
      <c r="K130" s="18">
        <v>45722</v>
      </c>
      <c r="L130" s="18">
        <v>46086</v>
      </c>
      <c r="M130" s="16" t="s">
        <v>47</v>
      </c>
      <c r="N130" s="37" t="s">
        <v>1686</v>
      </c>
      <c r="O130" s="32" t="str">
        <f>IFERROR(VLOOKUP($G130,[1]DB2!$A:$B,2,0),"공동과책 확인")</f>
        <v>Son, Seungwoo</v>
      </c>
      <c r="P130" s="32" t="s">
        <v>2256</v>
      </c>
      <c r="Q130" s="32" t="s">
        <v>1614</v>
      </c>
      <c r="R130" s="32" t="str">
        <f>IFERROR(VLOOKUP($I130,[1]DB2!$F$2:$I$58,2,0),"옛날 부서명 확인")</f>
        <v>Spatial Planning and Management Division</v>
      </c>
      <c r="S130" s="32" t="str">
        <f>IFERROR(VLOOKUP($I130,[1]DB2!$F$2:$I$58,4,0),"옛날 부서명 확인")</f>
        <v xml:space="preserve">Land and Environment Research Group </v>
      </c>
    </row>
    <row r="131" spans="1:19" ht="18" customHeight="1">
      <c r="A131" s="15" t="s">
        <v>740</v>
      </c>
      <c r="B131" s="15" t="s">
        <v>21</v>
      </c>
      <c r="C131" s="15" t="s">
        <v>463</v>
      </c>
      <c r="D131" s="16" t="s">
        <v>464</v>
      </c>
      <c r="E131" s="16"/>
      <c r="F131" s="16" t="s">
        <v>465</v>
      </c>
      <c r="G131" s="15" t="s">
        <v>466</v>
      </c>
      <c r="H131" s="16" t="s">
        <v>382</v>
      </c>
      <c r="I131" s="16" t="s">
        <v>383</v>
      </c>
      <c r="J131" s="17">
        <v>90000000</v>
      </c>
      <c r="K131" s="18">
        <v>45723</v>
      </c>
      <c r="L131" s="18">
        <v>46006</v>
      </c>
      <c r="M131" s="16" t="s">
        <v>47</v>
      </c>
      <c r="N131" s="37" t="s">
        <v>1684</v>
      </c>
      <c r="O131" s="32" t="str">
        <f>IFERROR(VLOOKUP($G131,[1]DB2!$A:$B,2,0),"공동과책 확인")</f>
        <v>Park, Taeho</v>
      </c>
      <c r="P131" s="32" t="s">
        <v>2158</v>
      </c>
      <c r="Q131" s="32"/>
      <c r="R131" s="32" t="str">
        <f>IFERROR(VLOOKUP($I131,[1]DB2!$F$2:$I$58,2,0),"옛날 부서명 확인")</f>
        <v xml:space="preserve">Social Infrastructure Assessment Division </v>
      </c>
      <c r="S131" s="32" t="str">
        <f>IFERROR(VLOOKUP($I131,[1]DB2!$F$2:$I$58,4,0),"옛날 부서명 확인")</f>
        <v xml:space="preserve">Environmental Assessment Group </v>
      </c>
    </row>
    <row r="132" spans="1:19" ht="18" customHeight="1">
      <c r="A132" s="15" t="s">
        <v>742</v>
      </c>
      <c r="B132" s="15" t="s">
        <v>21</v>
      </c>
      <c r="C132" s="15" t="s">
        <v>468</v>
      </c>
      <c r="D132" s="16" t="s">
        <v>469</v>
      </c>
      <c r="E132" s="16"/>
      <c r="F132" s="16" t="s">
        <v>470</v>
      </c>
      <c r="G132" s="15" t="s">
        <v>471</v>
      </c>
      <c r="H132" s="16" t="s">
        <v>297</v>
      </c>
      <c r="I132" s="16" t="s">
        <v>298</v>
      </c>
      <c r="J132" s="17">
        <v>78856000</v>
      </c>
      <c r="K132" s="18">
        <v>45723</v>
      </c>
      <c r="L132" s="18">
        <v>46022</v>
      </c>
      <c r="M132" s="16" t="s">
        <v>47</v>
      </c>
      <c r="N132" s="37" t="s">
        <v>1685</v>
      </c>
      <c r="O132" s="32" t="str">
        <f>IFERROR(VLOOKUP($G132,[1]DB2!$A:$B,2,0),"공동과책 확인")</f>
        <v xml:space="preserve">Song, Jiyoon </v>
      </c>
      <c r="P132" s="32" t="s">
        <v>2256</v>
      </c>
      <c r="Q132" s="32"/>
      <c r="R132" s="32" t="str">
        <f>IFERROR(VLOOKUP($I132,[1]DB2!$F$2:$I$58,2,0),"옛날 부서명 확인")</f>
        <v xml:space="preserve">Climate Adaptation Policy Division </v>
      </c>
      <c r="S132" s="32" t="str">
        <f>IFERROR(VLOOKUP($I132,[1]DB2!$F$2:$I$58,4,0),"옛날 부서명 확인")</f>
        <v xml:space="preserve">Korea Adaptation Center for Climate Change </v>
      </c>
    </row>
    <row r="133" spans="1:19" ht="18" customHeight="1">
      <c r="A133" s="15" t="s">
        <v>746</v>
      </c>
      <c r="B133" s="15" t="s">
        <v>21</v>
      </c>
      <c r="C133" s="15" t="s">
        <v>473</v>
      </c>
      <c r="D133" s="16" t="s">
        <v>2294</v>
      </c>
      <c r="E133" s="16"/>
      <c r="F133" s="16" t="s">
        <v>474</v>
      </c>
      <c r="G133" s="15" t="s">
        <v>475</v>
      </c>
      <c r="H133" s="16" t="s">
        <v>476</v>
      </c>
      <c r="I133" s="16" t="s">
        <v>477</v>
      </c>
      <c r="J133" s="17">
        <v>39550000</v>
      </c>
      <c r="K133" s="18">
        <v>45726</v>
      </c>
      <c r="L133" s="18">
        <v>45995</v>
      </c>
      <c r="M133" s="16" t="s">
        <v>47</v>
      </c>
      <c r="N133" s="37" t="s">
        <v>2295</v>
      </c>
      <c r="O133" s="32" t="str">
        <f>IFERROR(VLOOKUP($G133,[1]DB2!$A:$B,2,0),"공동과책 확인")</f>
        <v>Lee, Sangyun</v>
      </c>
      <c r="P133" s="32" t="s">
        <v>1618</v>
      </c>
      <c r="Q133" s="32"/>
      <c r="R133" s="32" t="str">
        <f>IFERROR(VLOOKUP($I133,[1]DB2!$F$2:$I$58,2,0),"옛날 부서명 확인")</f>
        <v xml:space="preserve">Environmental Resources Assessment Division </v>
      </c>
      <c r="S133" s="32" t="str">
        <f>IFERROR(VLOOKUP($I133,[1]DB2!$F$2:$I$58,4,0),"옛날 부서명 확인")</f>
        <v xml:space="preserve">Environmental Assessment Group </v>
      </c>
    </row>
    <row r="134" spans="1:19" ht="18" customHeight="1">
      <c r="A134" s="15" t="s">
        <v>751</v>
      </c>
      <c r="B134" s="15" t="s">
        <v>21</v>
      </c>
      <c r="C134" s="15" t="s">
        <v>482</v>
      </c>
      <c r="D134" s="16" t="s">
        <v>483</v>
      </c>
      <c r="E134" s="16"/>
      <c r="F134" s="16" t="s">
        <v>484</v>
      </c>
      <c r="G134" s="15" t="s">
        <v>485</v>
      </c>
      <c r="H134" s="16" t="s">
        <v>486</v>
      </c>
      <c r="I134" s="16" t="s">
        <v>487</v>
      </c>
      <c r="J134" s="17">
        <v>39600000</v>
      </c>
      <c r="K134" s="18">
        <v>45727</v>
      </c>
      <c r="L134" s="18">
        <v>45989</v>
      </c>
      <c r="M134" s="16" t="s">
        <v>47</v>
      </c>
      <c r="N134" s="37" t="s">
        <v>1687</v>
      </c>
      <c r="O134" s="32" t="str">
        <f>IFERROR(VLOOKUP($G134,[1]DB2!$A:$B,2,0),"공동과책 확인")</f>
        <v>Lee, Sangbum</v>
      </c>
      <c r="P134" s="32" t="s">
        <v>2158</v>
      </c>
      <c r="Q134" s="32" t="s">
        <v>1618</v>
      </c>
      <c r="R134" s="32" t="str">
        <f>IFERROR(VLOOKUP($I134,[1]DB2!$F$2:$I$58,2,0),"옛날 부서명 확인")</f>
        <v xml:space="preserve">Environmental Assessment Group </v>
      </c>
      <c r="S134" s="32" t="str">
        <f>IFERROR(VLOOKUP($I134,[1]DB2!$F$2:$I$58,4,0),"옛날 부서명 확인")</f>
        <v xml:space="preserve">Environmental Assessment Group </v>
      </c>
    </row>
    <row r="135" spans="1:19" ht="18" customHeight="1">
      <c r="A135" s="15" t="s">
        <v>753</v>
      </c>
      <c r="B135" s="15" t="s">
        <v>21</v>
      </c>
      <c r="C135" s="15" t="s">
        <v>492</v>
      </c>
      <c r="D135" s="16" t="s">
        <v>493</v>
      </c>
      <c r="E135" s="16"/>
      <c r="F135" s="16" t="s">
        <v>474</v>
      </c>
      <c r="G135" s="15" t="s">
        <v>475</v>
      </c>
      <c r="H135" s="16" t="s">
        <v>476</v>
      </c>
      <c r="I135" s="16" t="s">
        <v>477</v>
      </c>
      <c r="J135" s="17">
        <v>39700000</v>
      </c>
      <c r="K135" s="18">
        <v>45729</v>
      </c>
      <c r="L135" s="18">
        <v>45998</v>
      </c>
      <c r="M135" s="16" t="s">
        <v>47</v>
      </c>
      <c r="N135" s="37" t="s">
        <v>2296</v>
      </c>
      <c r="O135" s="32" t="str">
        <f>IFERROR(VLOOKUP($G135,[1]DB2!$A:$B,2,0),"공동과책 확인")</f>
        <v>Lee, Sangyun</v>
      </c>
      <c r="P135" s="32" t="s">
        <v>1618</v>
      </c>
      <c r="Q135" s="32"/>
      <c r="R135" s="32" t="str">
        <f>IFERROR(VLOOKUP($I135,[1]DB2!$F$2:$I$58,2,0),"옛날 부서명 확인")</f>
        <v xml:space="preserve">Environmental Resources Assessment Division </v>
      </c>
      <c r="S135" s="32" t="str">
        <f>IFERROR(VLOOKUP($I135,[1]DB2!$F$2:$I$58,4,0),"옛날 부서명 확인")</f>
        <v xml:space="preserve">Environmental Assessment Group </v>
      </c>
    </row>
    <row r="136" spans="1:19" ht="18" customHeight="1">
      <c r="A136" s="15" t="s">
        <v>757</v>
      </c>
      <c r="B136" s="15" t="s">
        <v>21</v>
      </c>
      <c r="C136" s="15" t="s">
        <v>460</v>
      </c>
      <c r="D136" s="16" t="s">
        <v>461</v>
      </c>
      <c r="E136" s="16"/>
      <c r="F136" s="16" t="s">
        <v>24</v>
      </c>
      <c r="G136" s="15" t="s">
        <v>25</v>
      </c>
      <c r="H136" s="16" t="s">
        <v>32</v>
      </c>
      <c r="I136" s="16" t="s">
        <v>27</v>
      </c>
      <c r="J136" s="17">
        <v>130895000</v>
      </c>
      <c r="K136" s="18">
        <v>45730</v>
      </c>
      <c r="L136" s="18">
        <v>46389</v>
      </c>
      <c r="M136" s="16" t="s">
        <v>103</v>
      </c>
      <c r="N136" s="37" t="s">
        <v>1683</v>
      </c>
      <c r="O136" s="32" t="str">
        <f>IFERROR(VLOOKUP($G136,[1]DB2!$A:$B,2,0),"공동과책 확인")</f>
        <v>Lee, Soojae</v>
      </c>
      <c r="P136" s="32" t="s">
        <v>1614</v>
      </c>
      <c r="Q136" s="32" t="s">
        <v>2256</v>
      </c>
      <c r="R136" s="32" t="str">
        <f>IFERROR(VLOOKUP($I136,[1]DB2!$F$2:$I$58,2,0),"옛날 부서명 확인")</f>
        <v xml:space="preserve">Natural Environment Division </v>
      </c>
      <c r="S136" s="32" t="str">
        <f>IFERROR(VLOOKUP($I136,[1]DB2!$F$2:$I$58,4,0),"옛날 부서명 확인")</f>
        <v xml:space="preserve">Land and Environment Research Group </v>
      </c>
    </row>
    <row r="137" spans="1:19" ht="18" customHeight="1">
      <c r="A137" s="15" t="s">
        <v>758</v>
      </c>
      <c r="B137" s="15" t="s">
        <v>21</v>
      </c>
      <c r="C137" s="15" t="s">
        <v>495</v>
      </c>
      <c r="D137" s="16" t="s">
        <v>496</v>
      </c>
      <c r="E137" s="16"/>
      <c r="F137" s="16" t="s">
        <v>497</v>
      </c>
      <c r="G137" s="15" t="s">
        <v>498</v>
      </c>
      <c r="H137" s="16" t="s">
        <v>425</v>
      </c>
      <c r="I137" s="16" t="s">
        <v>124</v>
      </c>
      <c r="J137" s="17">
        <v>79100000</v>
      </c>
      <c r="K137" s="18">
        <v>45730</v>
      </c>
      <c r="L137" s="18">
        <v>45970</v>
      </c>
      <c r="M137" s="16" t="s">
        <v>499</v>
      </c>
      <c r="N137" s="37" t="s">
        <v>1688</v>
      </c>
      <c r="O137" s="32" t="str">
        <f>IFERROR(VLOOKUP($G137,[1]DB2!$A:$B,2,0),"공동과책 확인")</f>
        <v>Choi, Hyungsik</v>
      </c>
      <c r="P137" s="32" t="s">
        <v>2255</v>
      </c>
      <c r="Q137" s="32" t="s">
        <v>1621</v>
      </c>
      <c r="R137" s="32" t="str">
        <f>IFERROR(VLOOKUP($I137,[1]DB2!$F$2:$I$58,2,0),"옛날 부서명 확인")</f>
        <v xml:space="preserve">Carbon Neutrality Division </v>
      </c>
      <c r="S137" s="32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5" t="s">
        <v>759</v>
      </c>
      <c r="B138" s="15" t="s">
        <v>21</v>
      </c>
      <c r="C138" s="15" t="s">
        <v>501</v>
      </c>
      <c r="D138" s="16" t="s">
        <v>502</v>
      </c>
      <c r="E138" s="16"/>
      <c r="F138" s="16" t="s">
        <v>51</v>
      </c>
      <c r="G138" s="15" t="s">
        <v>52</v>
      </c>
      <c r="H138" s="16" t="s">
        <v>32</v>
      </c>
      <c r="I138" s="16" t="s">
        <v>27</v>
      </c>
      <c r="J138" s="17">
        <v>130454540</v>
      </c>
      <c r="K138" s="18">
        <v>45734</v>
      </c>
      <c r="L138" s="18">
        <v>45991</v>
      </c>
      <c r="M138" s="16" t="s">
        <v>168</v>
      </c>
      <c r="N138" s="38" t="s">
        <v>2516</v>
      </c>
      <c r="O138" s="32" t="str">
        <f>IFERROR(VLOOKUP($G138,[1]DB2!$A:$B,2,0),"공동과책 확인")</f>
        <v xml:space="preserve">Koo, Kyung Ah </v>
      </c>
      <c r="P138" s="32" t="s">
        <v>1614</v>
      </c>
      <c r="Q138" s="32" t="s">
        <v>2258</v>
      </c>
      <c r="R138" s="32" t="str">
        <f>IFERROR(VLOOKUP($I138,[1]DB2!$F$2:$I$58,2,0),"옛날 부서명 확인")</f>
        <v xml:space="preserve">Natural Environment Division </v>
      </c>
      <c r="S138" s="32" t="str">
        <f>IFERROR(VLOOKUP($I138,[1]DB2!$F$2:$I$58,4,0),"옛날 부서명 확인")</f>
        <v xml:space="preserve">Land and Environment Research Group </v>
      </c>
    </row>
    <row r="139" spans="1:19" ht="18" customHeight="1">
      <c r="A139" s="15" t="s">
        <v>760</v>
      </c>
      <c r="B139" s="15" t="s">
        <v>21</v>
      </c>
      <c r="C139" s="15" t="s">
        <v>378</v>
      </c>
      <c r="D139" s="16" t="s">
        <v>379</v>
      </c>
      <c r="E139" s="16"/>
      <c r="F139" s="16" t="s">
        <v>380</v>
      </c>
      <c r="G139" s="15" t="s">
        <v>381</v>
      </c>
      <c r="H139" s="16" t="s">
        <v>382</v>
      </c>
      <c r="I139" s="16" t="s">
        <v>1950</v>
      </c>
      <c r="J139" s="17">
        <v>80742060</v>
      </c>
      <c r="K139" s="18">
        <v>45735</v>
      </c>
      <c r="L139" s="18">
        <v>46099</v>
      </c>
      <c r="M139" s="16" t="s">
        <v>172</v>
      </c>
      <c r="N139" s="37" t="s">
        <v>2314</v>
      </c>
      <c r="O139" s="32" t="str">
        <f>IFERROR(VLOOKUP($G139,[1]DB2!$A:$B,2,0),"공동과책 확인")</f>
        <v>Lee, Sunmin</v>
      </c>
      <c r="P139" s="32" t="s">
        <v>1617</v>
      </c>
      <c r="Q139" s="32" t="s">
        <v>2257</v>
      </c>
      <c r="R139" s="32" t="str">
        <f>IFERROR(VLOOKUP($I139,[1]DB2!$F$2:$I$58,2,0),"옛날 부서명 확인")</f>
        <v xml:space="preserve">Climate Adaptation Cooperation Division </v>
      </c>
      <c r="S139" s="32" t="str">
        <f>IFERROR(VLOOKUP($I139,[1]DB2!$F$2:$I$58,4,0),"옛날 부서명 확인")</f>
        <v xml:space="preserve">Korea Adaptation Center for Climate Change </v>
      </c>
    </row>
    <row r="140" spans="1:19" ht="18" customHeight="1">
      <c r="A140" s="15" t="s">
        <v>761</v>
      </c>
      <c r="B140" s="15" t="s">
        <v>21</v>
      </c>
      <c r="C140" s="15" t="s">
        <v>534</v>
      </c>
      <c r="D140" s="16" t="s">
        <v>535</v>
      </c>
      <c r="E140" s="16"/>
      <c r="F140" s="16" t="s">
        <v>241</v>
      </c>
      <c r="G140" s="15" t="s">
        <v>242</v>
      </c>
      <c r="H140" s="16" t="s">
        <v>243</v>
      </c>
      <c r="I140" s="16" t="s">
        <v>147</v>
      </c>
      <c r="J140" s="17">
        <v>263250000</v>
      </c>
      <c r="K140" s="18">
        <v>45735</v>
      </c>
      <c r="L140" s="18">
        <v>46022</v>
      </c>
      <c r="M140" s="16" t="s">
        <v>536</v>
      </c>
      <c r="N140" s="37" t="s">
        <v>1696</v>
      </c>
      <c r="O140" s="32" t="str">
        <f>IFERROR(VLOOKUP($G140,[1]DB2!$A:$B,2,0),"공동과책 확인")</f>
        <v>Bae, Hyun-Joo</v>
      </c>
      <c r="P140" s="32" t="s">
        <v>2281</v>
      </c>
      <c r="Q140" s="32" t="s">
        <v>2257</v>
      </c>
      <c r="R140" s="32" t="str">
        <f>IFERROR(VLOOKUP($I140,[1]DB2!$F$2:$I$58,2,0),"옛날 부서명 확인")</f>
        <v xml:space="preserve">Environmental Health Division </v>
      </c>
      <c r="S140" s="32" t="str">
        <f>IFERROR(VLOOKUP($I140,[1]DB2!$F$2:$I$58,4,0),"옛날 부서명 확인")</f>
        <v xml:space="preserve">Sustainable Development Research Group  </v>
      </c>
    </row>
    <row r="141" spans="1:19" ht="18" customHeight="1">
      <c r="A141" s="15" t="s">
        <v>762</v>
      </c>
      <c r="B141" s="15" t="s">
        <v>21</v>
      </c>
      <c r="C141" s="15" t="s">
        <v>546</v>
      </c>
      <c r="D141" s="16" t="s">
        <v>547</v>
      </c>
      <c r="E141" s="16"/>
      <c r="F141" s="16" t="s">
        <v>548</v>
      </c>
      <c r="G141" s="15" t="s">
        <v>549</v>
      </c>
      <c r="H141" s="16" t="s">
        <v>425</v>
      </c>
      <c r="I141" s="16" t="s">
        <v>124</v>
      </c>
      <c r="J141" s="17">
        <v>40000000</v>
      </c>
      <c r="K141" s="18">
        <v>45742</v>
      </c>
      <c r="L141" s="18">
        <v>46048</v>
      </c>
      <c r="M141" s="16" t="s">
        <v>125</v>
      </c>
      <c r="N141" s="37" t="s">
        <v>1699</v>
      </c>
      <c r="O141" s="32" t="str">
        <f>IFERROR(VLOOKUP($G141,[1]DB2!$A:$B,2,0),"공동과책 확인")</f>
        <v xml:space="preserve">Moon, Jongwoo </v>
      </c>
      <c r="P141" s="32" t="s">
        <v>1621</v>
      </c>
      <c r="Q141" s="32" t="s">
        <v>2255</v>
      </c>
      <c r="R141" s="32" t="str">
        <f>IFERROR(VLOOKUP($I141,[1]DB2!$F$2:$I$58,2,0),"옛날 부서명 확인")</f>
        <v xml:space="preserve">Carbon Neutrality Division </v>
      </c>
      <c r="S141" s="32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5" t="s">
        <v>763</v>
      </c>
      <c r="B142" s="15" t="s">
        <v>21</v>
      </c>
      <c r="C142" s="15" t="s">
        <v>504</v>
      </c>
      <c r="D142" s="16" t="s">
        <v>505</v>
      </c>
      <c r="E142" s="16"/>
      <c r="F142" s="16" t="s">
        <v>115</v>
      </c>
      <c r="G142" s="15" t="s">
        <v>116</v>
      </c>
      <c r="H142" s="16" t="s">
        <v>254</v>
      </c>
      <c r="I142" s="16" t="s">
        <v>255</v>
      </c>
      <c r="J142" s="17">
        <v>227270000</v>
      </c>
      <c r="K142" s="18">
        <v>45747</v>
      </c>
      <c r="L142" s="18">
        <v>46022</v>
      </c>
      <c r="M142" s="16" t="s">
        <v>117</v>
      </c>
      <c r="N142" s="37" t="s">
        <v>1689</v>
      </c>
      <c r="O142" s="32" t="str">
        <f>IFERROR(VLOOKUP($G142,[1]DB2!$A:$B,2,0),"공동과책 확인")</f>
        <v>Kim, Jongho</v>
      </c>
      <c r="P142" s="32" t="s">
        <v>1621</v>
      </c>
      <c r="Q142" s="32" t="s">
        <v>2257</v>
      </c>
      <c r="R142" s="32" t="str">
        <f>IFERROR(VLOOKUP($I142,[1]DB2!$F$2:$I$58,2,0),"옛날 부서명 확인")</f>
        <v xml:space="preserve">Circular Economy Division </v>
      </c>
      <c r="S142" s="32" t="str">
        <f>IFERROR(VLOOKUP($I142,[1]DB2!$F$2:$I$58,4,0),"옛날 부서명 확인")</f>
        <v xml:space="preserve">Sustainable Development Research Group  </v>
      </c>
    </row>
    <row r="143" spans="1:19" ht="18" customHeight="1">
      <c r="A143" s="15" t="s">
        <v>766</v>
      </c>
      <c r="B143" s="15" t="s">
        <v>21</v>
      </c>
      <c r="C143" s="15" t="s">
        <v>507</v>
      </c>
      <c r="D143" s="16" t="s">
        <v>508</v>
      </c>
      <c r="E143" s="16"/>
      <c r="F143" s="16" t="s">
        <v>509</v>
      </c>
      <c r="G143" s="15" t="s">
        <v>510</v>
      </c>
      <c r="H143" s="16" t="s">
        <v>32</v>
      </c>
      <c r="I143" s="16" t="s">
        <v>27</v>
      </c>
      <c r="J143" s="17">
        <v>49700000</v>
      </c>
      <c r="K143" s="18">
        <v>45748</v>
      </c>
      <c r="L143" s="18">
        <v>45927</v>
      </c>
      <c r="M143" s="16" t="s">
        <v>47</v>
      </c>
      <c r="N143" s="37" t="s">
        <v>1690</v>
      </c>
      <c r="O143" s="32" t="str">
        <f>IFERROR(VLOOKUP($G143,[1]DB2!$A:$B,2,0),"공동과책 확인")</f>
        <v>Lee, Who-Seung</v>
      </c>
      <c r="P143" s="32" t="s">
        <v>1614</v>
      </c>
      <c r="Q143" s="32" t="s">
        <v>2256</v>
      </c>
      <c r="R143" s="32" t="str">
        <f>IFERROR(VLOOKUP($I143,[1]DB2!$F$2:$I$58,2,0),"옛날 부서명 확인")</f>
        <v xml:space="preserve">Natural Environment Division </v>
      </c>
      <c r="S143" s="32" t="str">
        <f>IFERROR(VLOOKUP($I143,[1]DB2!$F$2:$I$58,4,0),"옛날 부서명 확인")</f>
        <v xml:space="preserve">Land and Environment Research Group </v>
      </c>
    </row>
    <row r="144" spans="1:19" ht="18" customHeight="1">
      <c r="A144" s="15" t="s">
        <v>769</v>
      </c>
      <c r="B144" s="15" t="s">
        <v>21</v>
      </c>
      <c r="C144" s="15" t="s">
        <v>512</v>
      </c>
      <c r="D144" s="16" t="s">
        <v>513</v>
      </c>
      <c r="E144" s="16"/>
      <c r="F144" s="16" t="s">
        <v>514</v>
      </c>
      <c r="G144" s="15" t="s">
        <v>515</v>
      </c>
      <c r="H144" s="16" t="s">
        <v>382</v>
      </c>
      <c r="I144" s="16" t="s">
        <v>383</v>
      </c>
      <c r="J144" s="17">
        <v>39400000</v>
      </c>
      <c r="K144" s="18">
        <v>45748</v>
      </c>
      <c r="L144" s="18">
        <v>45987</v>
      </c>
      <c r="M144" s="16" t="s">
        <v>47</v>
      </c>
      <c r="N144" s="37" t="s">
        <v>1691</v>
      </c>
      <c r="O144" s="32" t="str">
        <f>IFERROR(VLOOKUP($G144,[1]DB2!$A:$B,2,0),"공동과책 확인")</f>
        <v>Ji, Min-Kyu</v>
      </c>
      <c r="P144" s="32" t="s">
        <v>1618</v>
      </c>
      <c r="Q144" s="32" t="s">
        <v>2257</v>
      </c>
      <c r="R144" s="32" t="str">
        <f>IFERROR(VLOOKUP($I144,[1]DB2!$F$2:$I$58,2,0),"옛날 부서명 확인")</f>
        <v xml:space="preserve">Social Infrastructure Assessment Division </v>
      </c>
      <c r="S144" s="32" t="str">
        <f>IFERROR(VLOOKUP($I144,[1]DB2!$F$2:$I$58,4,0),"옛날 부서명 확인")</f>
        <v xml:space="preserve">Environmental Assessment Group </v>
      </c>
    </row>
    <row r="145" spans="1:19" ht="18" customHeight="1">
      <c r="A145" s="15" t="s">
        <v>774</v>
      </c>
      <c r="B145" s="15" t="s">
        <v>21</v>
      </c>
      <c r="C145" s="15" t="s">
        <v>541</v>
      </c>
      <c r="D145" s="16" t="s">
        <v>542</v>
      </c>
      <c r="E145" s="16"/>
      <c r="F145" s="16" t="s">
        <v>373</v>
      </c>
      <c r="G145" s="15" t="s">
        <v>374</v>
      </c>
      <c r="H145" s="16" t="s">
        <v>208</v>
      </c>
      <c r="I145" s="16" t="s">
        <v>209</v>
      </c>
      <c r="J145" s="17">
        <v>105000000</v>
      </c>
      <c r="K145" s="18">
        <v>45748</v>
      </c>
      <c r="L145" s="18">
        <v>46022</v>
      </c>
      <c r="M145" s="16" t="s">
        <v>543</v>
      </c>
      <c r="N145" s="37" t="s">
        <v>1698</v>
      </c>
      <c r="O145" s="32" t="str">
        <f>IFERROR(VLOOKUP($G145,[1]DB2!$A:$B,2,0),"공동과책 확인")</f>
        <v xml:space="preserve">Kim, Geunhan </v>
      </c>
      <c r="P145" s="32" t="s">
        <v>2256</v>
      </c>
      <c r="Q145" s="32" t="s">
        <v>2257</v>
      </c>
      <c r="R145" s="32" t="str">
        <f>IFERROR(VLOOKUP($I145,[1]DB2!$F$2:$I$58,2,0),"옛날 부서명 확인")</f>
        <v>Spatial Planning and Management Division</v>
      </c>
      <c r="S145" s="32" t="str">
        <f>IFERROR(VLOOKUP($I145,[1]DB2!$F$2:$I$58,4,0),"옛날 부서명 확인")</f>
        <v xml:space="preserve">Land and Environment Research Group </v>
      </c>
    </row>
    <row r="146" spans="1:19" ht="18" customHeight="1">
      <c r="A146" s="15" t="s">
        <v>775</v>
      </c>
      <c r="B146" s="15" t="s">
        <v>21</v>
      </c>
      <c r="C146" s="15" t="s">
        <v>557</v>
      </c>
      <c r="D146" s="16" t="s">
        <v>558</v>
      </c>
      <c r="E146" s="16"/>
      <c r="F146" s="16" t="s">
        <v>51</v>
      </c>
      <c r="G146" s="15" t="s">
        <v>52</v>
      </c>
      <c r="H146" s="16" t="s">
        <v>32</v>
      </c>
      <c r="I146" s="16" t="s">
        <v>27</v>
      </c>
      <c r="J146" s="17">
        <v>150000000</v>
      </c>
      <c r="K146" s="18">
        <v>45748</v>
      </c>
      <c r="L146" s="18">
        <v>46022</v>
      </c>
      <c r="M146" s="16" t="s">
        <v>350</v>
      </c>
      <c r="N146" s="38" t="s">
        <v>2349</v>
      </c>
      <c r="O146" s="32" t="str">
        <f>IFERROR(VLOOKUP($G146,[1]DB2!$A:$B,2,0),"공동과책 확인")</f>
        <v xml:space="preserve">Koo, Kyung Ah </v>
      </c>
      <c r="P146" s="32" t="s">
        <v>1798</v>
      </c>
      <c r="Q146" s="32" t="s">
        <v>2283</v>
      </c>
      <c r="R146" s="32" t="str">
        <f>IFERROR(VLOOKUP($I146,[1]DB2!$F$2:$I$58,2,0),"옛날 부서명 확인")</f>
        <v xml:space="preserve">Natural Environment Division </v>
      </c>
      <c r="S146" s="32" t="str">
        <f>IFERROR(VLOOKUP($I146,[1]DB2!$F$2:$I$58,4,0),"옛날 부서명 확인")</f>
        <v xml:space="preserve">Land and Environment Research Group </v>
      </c>
    </row>
    <row r="147" spans="1:19" ht="18" customHeight="1">
      <c r="A147" s="15" t="s">
        <v>779</v>
      </c>
      <c r="B147" s="15" t="s">
        <v>21</v>
      </c>
      <c r="C147" s="15" t="s">
        <v>571</v>
      </c>
      <c r="D147" s="16" t="s">
        <v>572</v>
      </c>
      <c r="E147" s="16"/>
      <c r="F147" s="16" t="s">
        <v>97</v>
      </c>
      <c r="G147" s="15" t="s">
        <v>98</v>
      </c>
      <c r="H147" s="16" t="s">
        <v>332</v>
      </c>
      <c r="I147" s="16" t="s">
        <v>333</v>
      </c>
      <c r="J147" s="17">
        <v>300000000</v>
      </c>
      <c r="K147" s="18">
        <v>45748</v>
      </c>
      <c r="L147" s="18">
        <v>46022</v>
      </c>
      <c r="M147" s="16" t="s">
        <v>436</v>
      </c>
      <c r="N147" s="37" t="s">
        <v>1703</v>
      </c>
      <c r="O147" s="32" t="str">
        <f>IFERROR(VLOOKUP($G147,[1]DB2!$A:$B,2,0),"공동과책 확인")</f>
        <v>Kang, Sungwon</v>
      </c>
      <c r="P147" s="32" t="s">
        <v>1621</v>
      </c>
      <c r="Q147" s="32" t="s">
        <v>1614</v>
      </c>
      <c r="R147" s="32" t="str">
        <f>IFERROR(VLOOKUP($I147,[1]DB2!$F$2:$I$58,2,0),"옛날 부서명 확인")</f>
        <v xml:space="preserve">Green Economy Division </v>
      </c>
      <c r="S147" s="32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5" t="s">
        <v>782</v>
      </c>
      <c r="B148" s="15" t="s">
        <v>21</v>
      </c>
      <c r="C148" s="15" t="s">
        <v>595</v>
      </c>
      <c r="D148" s="16" t="s">
        <v>596</v>
      </c>
      <c r="E148" s="16"/>
      <c r="F148" s="16" t="s">
        <v>597</v>
      </c>
      <c r="G148" s="15" t="s">
        <v>598</v>
      </c>
      <c r="H148" s="16" t="s">
        <v>425</v>
      </c>
      <c r="I148" s="16" t="s">
        <v>124</v>
      </c>
      <c r="J148" s="17">
        <v>700000000</v>
      </c>
      <c r="K148" s="18">
        <v>45748</v>
      </c>
      <c r="L148" s="18">
        <v>46022</v>
      </c>
      <c r="M148" s="16" t="s">
        <v>436</v>
      </c>
      <c r="N148" s="37" t="s">
        <v>1708</v>
      </c>
      <c r="O148" s="32" t="str">
        <f>IFERROR(VLOOKUP($G148,[1]DB2!$A:$B,2,0),"공동과책 확인")</f>
        <v>Chae, Yeora</v>
      </c>
      <c r="P148" s="32" t="s">
        <v>1619</v>
      </c>
      <c r="Q148" s="32" t="s">
        <v>1622</v>
      </c>
      <c r="R148" s="32" t="str">
        <f>IFERROR(VLOOKUP($I148,[1]DB2!$F$2:$I$58,2,0),"옛날 부서명 확인")</f>
        <v xml:space="preserve">Carbon Neutrality Division </v>
      </c>
      <c r="S148" s="32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5" t="s">
        <v>783</v>
      </c>
      <c r="B149" s="15" t="s">
        <v>21</v>
      </c>
      <c r="C149" s="15" t="s">
        <v>599</v>
      </c>
      <c r="D149" s="16" t="s">
        <v>600</v>
      </c>
      <c r="E149" s="16"/>
      <c r="F149" s="16" t="s">
        <v>470</v>
      </c>
      <c r="G149" s="15" t="s">
        <v>471</v>
      </c>
      <c r="H149" s="16" t="s">
        <v>297</v>
      </c>
      <c r="I149" s="16" t="s">
        <v>298</v>
      </c>
      <c r="J149" s="17">
        <v>37500000</v>
      </c>
      <c r="K149" s="18">
        <v>45748</v>
      </c>
      <c r="L149" s="18">
        <v>47118</v>
      </c>
      <c r="M149" s="16" t="s">
        <v>387</v>
      </c>
      <c r="N149" s="37" t="s">
        <v>2290</v>
      </c>
      <c r="O149" s="32" t="str">
        <f>IFERROR(VLOOKUP($G149,[1]DB2!$A:$B,2,0),"공동과책 확인")</f>
        <v xml:space="preserve">Song, Jiyoon </v>
      </c>
      <c r="P149" s="32" t="s">
        <v>2256</v>
      </c>
      <c r="Q149" s="32" t="s">
        <v>2255</v>
      </c>
      <c r="R149" s="32" t="str">
        <f>IFERROR(VLOOKUP($I149,[1]DB2!$F$2:$I$58,2,0),"옛날 부서명 확인")</f>
        <v xml:space="preserve">Climate Adaptation Policy Division </v>
      </c>
      <c r="S149" s="32" t="str">
        <f>IFERROR(VLOOKUP($I149,[1]DB2!$F$2:$I$58,4,0),"옛날 부서명 확인")</f>
        <v xml:space="preserve">Korea Adaptation Center for Climate Change </v>
      </c>
    </row>
    <row r="150" spans="1:19" ht="18" customHeight="1">
      <c r="A150" s="15" t="s">
        <v>789</v>
      </c>
      <c r="B150" s="15" t="s">
        <v>21</v>
      </c>
      <c r="C150" s="15" t="s">
        <v>616</v>
      </c>
      <c r="D150" s="16" t="s">
        <v>617</v>
      </c>
      <c r="E150" s="16"/>
      <c r="F150" s="16" t="s">
        <v>97</v>
      </c>
      <c r="G150" s="15" t="s">
        <v>98</v>
      </c>
      <c r="H150" s="16" t="s">
        <v>332</v>
      </c>
      <c r="I150" s="16" t="s">
        <v>333</v>
      </c>
      <c r="J150" s="17">
        <v>90909090</v>
      </c>
      <c r="K150" s="18">
        <v>45748</v>
      </c>
      <c r="L150" s="18">
        <v>46022</v>
      </c>
      <c r="M150" s="16" t="s">
        <v>618</v>
      </c>
      <c r="N150" s="37" t="s">
        <v>2056</v>
      </c>
      <c r="O150" s="32" t="str">
        <f>IFERROR(VLOOKUP($G150,[1]DB2!$A:$B,2,0),"공동과책 확인")</f>
        <v>Kang, Sungwon</v>
      </c>
      <c r="P150" s="32" t="s">
        <v>1615</v>
      </c>
      <c r="Q150" s="32" t="s">
        <v>1616</v>
      </c>
      <c r="R150" s="32" t="str">
        <f>IFERROR(VLOOKUP($I150,[1]DB2!$F$2:$I$58,2,0),"옛날 부서명 확인")</f>
        <v xml:space="preserve">Green Economy Division </v>
      </c>
      <c r="S150" s="32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5" t="s">
        <v>793</v>
      </c>
      <c r="B151" s="15" t="s">
        <v>21</v>
      </c>
      <c r="C151" s="15" t="s">
        <v>681</v>
      </c>
      <c r="D151" s="16" t="s">
        <v>2081</v>
      </c>
      <c r="E151" s="16"/>
      <c r="F151" s="16" t="s">
        <v>315</v>
      </c>
      <c r="G151" s="15" t="s">
        <v>316</v>
      </c>
      <c r="H151" s="16" t="s">
        <v>198</v>
      </c>
      <c r="I151" s="16" t="s">
        <v>199</v>
      </c>
      <c r="J151" s="17">
        <v>70000000</v>
      </c>
      <c r="K151" s="18">
        <v>45748</v>
      </c>
      <c r="L151" s="18">
        <v>46022</v>
      </c>
      <c r="M151" s="16" t="s">
        <v>387</v>
      </c>
      <c r="N151" s="37" t="s">
        <v>2082</v>
      </c>
      <c r="O151" s="32" t="str">
        <f>IFERROR(VLOOKUP($G151,[1]DB2!$A:$B,2,0),"공동과책 확인")</f>
        <v xml:space="preserve">Lee, Seungsoo </v>
      </c>
      <c r="P151" s="32" t="s">
        <v>2256</v>
      </c>
      <c r="Q151" s="32"/>
      <c r="R151" s="32" t="str">
        <f>IFERROR(VLOOKUP($I151,[1]DB2!$F$2:$I$58,2,0),"옛날 부서명 확인")</f>
        <v xml:space="preserve">Water Management Division </v>
      </c>
      <c r="S151" s="32" t="str">
        <f>IFERROR(VLOOKUP($I151,[1]DB2!$F$2:$I$58,4,0),"옛날 부서명 확인")</f>
        <v xml:space="preserve">Land and Environment Research Group </v>
      </c>
    </row>
    <row r="152" spans="1:19" ht="18" customHeight="1">
      <c r="A152" s="15" t="s">
        <v>1952</v>
      </c>
      <c r="B152" s="15" t="s">
        <v>836</v>
      </c>
      <c r="C152" s="15" t="s">
        <v>927</v>
      </c>
      <c r="D152" s="16" t="s">
        <v>928</v>
      </c>
      <c r="E152" s="16"/>
      <c r="F152" s="16" t="s">
        <v>273</v>
      </c>
      <c r="G152" s="15" t="s">
        <v>274</v>
      </c>
      <c r="H152" s="16" t="s">
        <v>198</v>
      </c>
      <c r="I152" s="16" t="s">
        <v>199</v>
      </c>
      <c r="J152" s="17">
        <v>15000000</v>
      </c>
      <c r="K152" s="18">
        <v>45748</v>
      </c>
      <c r="L152" s="18">
        <v>45930</v>
      </c>
      <c r="M152" s="16"/>
      <c r="N152" s="37" t="s">
        <v>2017</v>
      </c>
      <c r="O152" s="32" t="str">
        <f>IFERROR(VLOOKUP($G152,[1]DB2!$A:$B,2,0),"공동과책 확인")</f>
        <v>Jeon, Dongjin</v>
      </c>
      <c r="P152" s="32" t="s">
        <v>1617</v>
      </c>
      <c r="Q152" s="32" t="s">
        <v>1619</v>
      </c>
      <c r="R152" s="32" t="str">
        <f>IFERROR(VLOOKUP($I152,[1]DB2!$F$2:$I$58,2,0),"옛날 부서명 확인")</f>
        <v xml:space="preserve">Water Management Division </v>
      </c>
      <c r="S152" s="32" t="str">
        <f>IFERROR(VLOOKUP($I152,[1]DB2!$F$2:$I$58,4,0),"옛날 부서명 확인")</f>
        <v xml:space="preserve">Land and Environment Research Group </v>
      </c>
    </row>
    <row r="153" spans="1:19" ht="18" customHeight="1">
      <c r="A153" s="15" t="s">
        <v>1953</v>
      </c>
      <c r="B153" s="15" t="s">
        <v>836</v>
      </c>
      <c r="C153" s="15" t="s">
        <v>929</v>
      </c>
      <c r="D153" s="16" t="s">
        <v>930</v>
      </c>
      <c r="E153" s="16"/>
      <c r="F153" s="16" t="s">
        <v>656</v>
      </c>
      <c r="G153" s="15" t="s">
        <v>657</v>
      </c>
      <c r="H153" s="16" t="s">
        <v>254</v>
      </c>
      <c r="I153" s="16" t="s">
        <v>255</v>
      </c>
      <c r="J153" s="17">
        <v>15000000</v>
      </c>
      <c r="K153" s="18">
        <v>45748</v>
      </c>
      <c r="L153" s="18">
        <v>45930</v>
      </c>
      <c r="M153" s="16"/>
      <c r="N153" s="37" t="s">
        <v>1757</v>
      </c>
      <c r="O153" s="32" t="str">
        <f>IFERROR(VLOOKUP($G153,[1]DB2!$A:$B,2,0),"공동과책 확인")</f>
        <v xml:space="preserve">Ju, Munsol </v>
      </c>
      <c r="P153" s="32" t="s">
        <v>1613</v>
      </c>
      <c r="Q153" s="32" t="s">
        <v>1621</v>
      </c>
      <c r="R153" s="32" t="str">
        <f>IFERROR(VLOOKUP($I153,[1]DB2!$F$2:$I$58,2,0),"옛날 부서명 확인")</f>
        <v xml:space="preserve">Circular Economy Division </v>
      </c>
      <c r="S153" s="32" t="str">
        <f>IFERROR(VLOOKUP($I153,[1]DB2!$F$2:$I$58,4,0),"옛날 부서명 확인")</f>
        <v xml:space="preserve">Sustainable Development Research Group  </v>
      </c>
    </row>
    <row r="154" spans="1:19" ht="18" customHeight="1">
      <c r="A154" s="15" t="s">
        <v>1954</v>
      </c>
      <c r="B154" s="15" t="s">
        <v>836</v>
      </c>
      <c r="C154" s="15" t="s">
        <v>931</v>
      </c>
      <c r="D154" s="16" t="s">
        <v>932</v>
      </c>
      <c r="E154" s="16"/>
      <c r="F154" s="16" t="s">
        <v>641</v>
      </c>
      <c r="G154" s="15" t="s">
        <v>642</v>
      </c>
      <c r="H154" s="16" t="s">
        <v>198</v>
      </c>
      <c r="I154" s="16" t="s">
        <v>199</v>
      </c>
      <c r="J154" s="17">
        <v>15000000</v>
      </c>
      <c r="K154" s="18">
        <v>45748</v>
      </c>
      <c r="L154" s="18">
        <v>45930</v>
      </c>
      <c r="M154" s="16"/>
      <c r="N154" s="37" t="s">
        <v>1758</v>
      </c>
      <c r="O154" s="32" t="str">
        <f>IFERROR(VLOOKUP($G154,[1]DB2!$A:$B,2,0),"공동과책 확인")</f>
        <v>Hyun, Yunjung</v>
      </c>
      <c r="P154" s="32" t="s">
        <v>1617</v>
      </c>
      <c r="Q154" s="32" t="s">
        <v>2256</v>
      </c>
      <c r="R154" s="32" t="str">
        <f>IFERROR(VLOOKUP($I154,[1]DB2!$F$2:$I$58,2,0),"옛날 부서명 확인")</f>
        <v xml:space="preserve">Water Management Division </v>
      </c>
      <c r="S154" s="32" t="str">
        <f>IFERROR(VLOOKUP($I154,[1]DB2!$F$2:$I$58,4,0),"옛날 부서명 확인")</f>
        <v xml:space="preserve">Land and Environment Research Group </v>
      </c>
    </row>
    <row r="155" spans="1:19" ht="18" customHeight="1">
      <c r="A155" s="15" t="s">
        <v>1955</v>
      </c>
      <c r="B155" s="15" t="s">
        <v>836</v>
      </c>
      <c r="C155" s="15" t="s">
        <v>933</v>
      </c>
      <c r="D155" s="16" t="s">
        <v>1803</v>
      </c>
      <c r="E155" s="16"/>
      <c r="F155" s="16" t="s">
        <v>577</v>
      </c>
      <c r="G155" s="15" t="s">
        <v>578</v>
      </c>
      <c r="H155" s="16" t="s">
        <v>343</v>
      </c>
      <c r="I155" s="16" t="s">
        <v>191</v>
      </c>
      <c r="J155" s="17">
        <v>15000000</v>
      </c>
      <c r="K155" s="18">
        <v>45748</v>
      </c>
      <c r="L155" s="18">
        <v>45930</v>
      </c>
      <c r="M155" s="16"/>
      <c r="N155" s="37" t="s">
        <v>1759</v>
      </c>
      <c r="O155" s="32" t="str">
        <f>IFERROR(VLOOKUP($G155,[1]DB2!$A:$B,2,0),"공동과책 확인")</f>
        <v>Choi, Ki-Chul</v>
      </c>
      <c r="P155" s="32" t="s">
        <v>1616</v>
      </c>
      <c r="Q155" s="32" t="s">
        <v>1615</v>
      </c>
      <c r="R155" s="32" t="str">
        <f>IFERROR(VLOOKUP($I155,[1]DB2!$F$2:$I$58,2,0),"옛날 부서명 확인")</f>
        <v>Atmospheric Environment Division</v>
      </c>
      <c r="S155" s="32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5" t="s">
        <v>1956</v>
      </c>
      <c r="B156" s="15" t="s">
        <v>21</v>
      </c>
      <c r="C156" s="15" t="s">
        <v>517</v>
      </c>
      <c r="D156" s="16" t="s">
        <v>518</v>
      </c>
      <c r="E156" s="16"/>
      <c r="F156" s="16" t="s">
        <v>236</v>
      </c>
      <c r="G156" s="15" t="s">
        <v>519</v>
      </c>
      <c r="H156" s="16" t="s">
        <v>208</v>
      </c>
      <c r="I156" s="16" t="s">
        <v>209</v>
      </c>
      <c r="J156" s="17">
        <v>69300000</v>
      </c>
      <c r="K156" s="18">
        <v>45751</v>
      </c>
      <c r="L156" s="18">
        <v>45991</v>
      </c>
      <c r="M156" s="16" t="s">
        <v>47</v>
      </c>
      <c r="N156" s="37" t="s">
        <v>1692</v>
      </c>
      <c r="O156" s="32" t="s">
        <v>2262</v>
      </c>
      <c r="P156" s="32" t="s">
        <v>2256</v>
      </c>
      <c r="Q156" s="32"/>
      <c r="R156" s="32" t="str">
        <f>IFERROR(VLOOKUP($I156,[1]DB2!$F$2:$I$58,2,0),"옛날 부서명 확인")</f>
        <v>Spatial Planning and Management Division</v>
      </c>
      <c r="S156" s="32" t="str">
        <f>IFERROR(VLOOKUP($I156,[1]DB2!$F$2:$I$58,4,0),"옛날 부서명 확인")</f>
        <v xml:space="preserve">Land and Environment Research Group </v>
      </c>
    </row>
    <row r="157" spans="1:19" ht="18" customHeight="1">
      <c r="A157" s="15" t="s">
        <v>1957</v>
      </c>
      <c r="B157" s="15" t="s">
        <v>21</v>
      </c>
      <c r="C157" s="15" t="s">
        <v>521</v>
      </c>
      <c r="D157" s="16" t="s">
        <v>522</v>
      </c>
      <c r="E157" s="16"/>
      <c r="F157" s="16" t="s">
        <v>341</v>
      </c>
      <c r="G157" s="15" t="s">
        <v>523</v>
      </c>
      <c r="H157" s="16" t="s">
        <v>343</v>
      </c>
      <c r="I157" s="16" t="s">
        <v>191</v>
      </c>
      <c r="J157" s="17">
        <v>90909090</v>
      </c>
      <c r="K157" s="18">
        <v>45751</v>
      </c>
      <c r="L157" s="18">
        <v>46010</v>
      </c>
      <c r="M157" s="16" t="s">
        <v>286</v>
      </c>
      <c r="N157" s="37" t="s">
        <v>1693</v>
      </c>
      <c r="O157" s="32" t="str">
        <f>IFERROR(VLOOKUP($G157,[1]DB2!$A:$B,2,0),"공동과책 확인")</f>
        <v xml:space="preserve">Han, Jihyun </v>
      </c>
      <c r="P157" s="32" t="s">
        <v>1616</v>
      </c>
      <c r="Q157" s="32"/>
      <c r="R157" s="32" t="str">
        <f>IFERROR(VLOOKUP($I157,[1]DB2!$F$2:$I$58,2,0),"옛날 부서명 확인")</f>
        <v>Atmospheric Environment Division</v>
      </c>
      <c r="S157" s="32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5" t="s">
        <v>1958</v>
      </c>
      <c r="B158" s="15" t="s">
        <v>21</v>
      </c>
      <c r="C158" s="15" t="s">
        <v>525</v>
      </c>
      <c r="D158" s="16" t="s">
        <v>526</v>
      </c>
      <c r="E158" s="16"/>
      <c r="F158" s="16" t="s">
        <v>144</v>
      </c>
      <c r="G158" s="15" t="s">
        <v>145</v>
      </c>
      <c r="H158" s="16" t="s">
        <v>527</v>
      </c>
      <c r="I158" s="16" t="s">
        <v>528</v>
      </c>
      <c r="J158" s="17">
        <v>48190910</v>
      </c>
      <c r="K158" s="18">
        <v>45755</v>
      </c>
      <c r="L158" s="18">
        <v>46056</v>
      </c>
      <c r="M158" s="16" t="s">
        <v>47</v>
      </c>
      <c r="N158" s="37" t="s">
        <v>1694</v>
      </c>
      <c r="O158" s="32" t="str">
        <f>IFERROR(VLOOKUP($G158,[1]DB2!$A:$B,2,0),"공동과책 확인")</f>
        <v>Suh, Yang-won</v>
      </c>
      <c r="P158" s="32" t="s">
        <v>1615</v>
      </c>
      <c r="Q158" s="32" t="s">
        <v>1622</v>
      </c>
      <c r="R158" s="32" t="str">
        <f>IFERROR(VLOOKUP($I158,[1]DB2!$F$2:$I$58,2,0),"옛날 부서명 확인")</f>
        <v xml:space="preserve">Sustainable Development Research Group  </v>
      </c>
      <c r="S158" s="32" t="str">
        <f>IFERROR(VLOOKUP($I158,[1]DB2!$F$2:$I$58,4,0),"옛날 부서명 확인")</f>
        <v xml:space="preserve">Sustainable Development Research Group  </v>
      </c>
    </row>
    <row r="159" spans="1:19" ht="18" customHeight="1">
      <c r="A159" s="15" t="s">
        <v>1959</v>
      </c>
      <c r="B159" s="15" t="s">
        <v>21</v>
      </c>
      <c r="C159" s="15" t="s">
        <v>530</v>
      </c>
      <c r="D159" s="16" t="s">
        <v>531</v>
      </c>
      <c r="E159" s="16"/>
      <c r="F159" s="16" t="s">
        <v>399</v>
      </c>
      <c r="G159" s="15" t="s">
        <v>400</v>
      </c>
      <c r="H159" s="16" t="s">
        <v>343</v>
      </c>
      <c r="I159" s="16" t="s">
        <v>191</v>
      </c>
      <c r="J159" s="17">
        <v>220366360</v>
      </c>
      <c r="K159" s="18">
        <v>45755</v>
      </c>
      <c r="L159" s="18">
        <v>46025</v>
      </c>
      <c r="M159" s="16" t="s">
        <v>532</v>
      </c>
      <c r="N159" s="37" t="s">
        <v>1695</v>
      </c>
      <c r="O159" s="32" t="str">
        <f>IFERROR(VLOOKUP($G159,[1]DB2!$A:$B,2,0),"공동과책 확인")</f>
        <v>Lee, Seungmin</v>
      </c>
      <c r="P159" s="32" t="s">
        <v>1616</v>
      </c>
      <c r="Q159" s="32"/>
      <c r="R159" s="32" t="str">
        <f>IFERROR(VLOOKUP($I159,[1]DB2!$F$2:$I$58,2,0),"옛날 부서명 확인")</f>
        <v>Atmospheric Environment Division</v>
      </c>
      <c r="S159" s="32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5" t="s">
        <v>1960</v>
      </c>
      <c r="B160" s="15" t="s">
        <v>21</v>
      </c>
      <c r="C160" s="15" t="s">
        <v>538</v>
      </c>
      <c r="D160" s="16" t="s">
        <v>539</v>
      </c>
      <c r="E160" s="16"/>
      <c r="F160" s="16" t="s">
        <v>348</v>
      </c>
      <c r="G160" s="15" t="s">
        <v>349</v>
      </c>
      <c r="H160" s="16" t="s">
        <v>32</v>
      </c>
      <c r="I160" s="16" t="s">
        <v>27</v>
      </c>
      <c r="J160" s="17">
        <v>44090900</v>
      </c>
      <c r="K160" s="18">
        <v>45756</v>
      </c>
      <c r="L160" s="18">
        <v>45935</v>
      </c>
      <c r="M160" s="16" t="s">
        <v>540</v>
      </c>
      <c r="N160" s="37" t="s">
        <v>1697</v>
      </c>
      <c r="O160" s="32" t="str">
        <f>IFERROR(VLOOKUP($G160,[1]DB2!$A:$B,2,0),"공동과책 확인")</f>
        <v>Kim, Choong-ki</v>
      </c>
      <c r="P160" s="32" t="s">
        <v>1620</v>
      </c>
      <c r="Q160" s="32"/>
      <c r="R160" s="32" t="str">
        <f>IFERROR(VLOOKUP($I160,[1]DB2!$F$2:$I$58,2,0),"옛날 부서명 확인")</f>
        <v xml:space="preserve">Natural Environment Division </v>
      </c>
      <c r="S160" s="32" t="str">
        <f>IFERROR(VLOOKUP($I160,[1]DB2!$F$2:$I$58,4,0),"옛날 부서명 확인")</f>
        <v xml:space="preserve">Land and Environment Research Group </v>
      </c>
    </row>
    <row r="161" spans="1:19" ht="18" customHeight="1">
      <c r="A161" s="15" t="s">
        <v>1961</v>
      </c>
      <c r="B161" s="15" t="s">
        <v>21</v>
      </c>
      <c r="C161" s="15" t="s">
        <v>550</v>
      </c>
      <c r="D161" s="16" t="s">
        <v>551</v>
      </c>
      <c r="E161" s="16"/>
      <c r="F161" s="16" t="s">
        <v>552</v>
      </c>
      <c r="G161" s="15" t="s">
        <v>553</v>
      </c>
      <c r="H161" s="16" t="s">
        <v>198</v>
      </c>
      <c r="I161" s="16" t="s">
        <v>199</v>
      </c>
      <c r="J161" s="17">
        <v>177100000</v>
      </c>
      <c r="K161" s="18">
        <v>45757</v>
      </c>
      <c r="L161" s="18">
        <v>45996</v>
      </c>
      <c r="M161" s="16" t="s">
        <v>47</v>
      </c>
      <c r="N161" s="37" t="s">
        <v>1700</v>
      </c>
      <c r="O161" s="32" t="str">
        <f>IFERROR(VLOOKUP($G161,[1]DB2!$A:$B,2,0),"공동과책 확인")</f>
        <v xml:space="preserve">Oh, Myoungjin </v>
      </c>
      <c r="P161" s="32" t="s">
        <v>1617</v>
      </c>
      <c r="Q161" s="32" t="s">
        <v>1621</v>
      </c>
      <c r="R161" s="32" t="str">
        <f>IFERROR(VLOOKUP($I161,[1]DB2!$F$2:$I$58,2,0),"옛날 부서명 확인")</f>
        <v xml:space="preserve">Water Management Division </v>
      </c>
      <c r="S161" s="32" t="str">
        <f>IFERROR(VLOOKUP($I161,[1]DB2!$F$2:$I$58,4,0),"옛날 부서명 확인")</f>
        <v xml:space="preserve">Land and Environment Research Group </v>
      </c>
    </row>
    <row r="162" spans="1:19" ht="18" customHeight="1">
      <c r="A162" s="15" t="s">
        <v>1962</v>
      </c>
      <c r="B162" s="15" t="s">
        <v>21</v>
      </c>
      <c r="C162" s="15" t="s">
        <v>554</v>
      </c>
      <c r="D162" s="16" t="s">
        <v>555</v>
      </c>
      <c r="E162" s="16"/>
      <c r="F162" s="16" t="s">
        <v>252</v>
      </c>
      <c r="G162" s="15" t="s">
        <v>253</v>
      </c>
      <c r="H162" s="16" t="s">
        <v>254</v>
      </c>
      <c r="I162" s="16" t="s">
        <v>255</v>
      </c>
      <c r="J162" s="17">
        <v>151800000</v>
      </c>
      <c r="K162" s="18">
        <v>45757</v>
      </c>
      <c r="L162" s="18">
        <v>45999</v>
      </c>
      <c r="M162" s="16" t="s">
        <v>556</v>
      </c>
      <c r="N162" s="37" t="s">
        <v>2350</v>
      </c>
      <c r="O162" s="32" t="str">
        <f>IFERROR(VLOOKUP($G162,[1]DB2!$A:$B,2,0),"공동과책 확인")</f>
        <v>Shin, Sang-Cheol</v>
      </c>
      <c r="P162" s="32" t="s">
        <v>1621</v>
      </c>
      <c r="Q162" s="32"/>
      <c r="R162" s="32" t="str">
        <f>IFERROR(VLOOKUP($I162,[1]DB2!$F$2:$I$58,2,0),"옛날 부서명 확인")</f>
        <v xml:space="preserve">Circular Economy Division </v>
      </c>
      <c r="S162" s="32" t="str">
        <f>IFERROR(VLOOKUP($I162,[1]DB2!$F$2:$I$58,4,0),"옛날 부서명 확인")</f>
        <v xml:space="preserve">Sustainable Development Research Group  </v>
      </c>
    </row>
    <row r="163" spans="1:19" ht="18" customHeight="1">
      <c r="A163" s="15" t="s">
        <v>1963</v>
      </c>
      <c r="B163" s="15" t="s">
        <v>21</v>
      </c>
      <c r="C163" s="15" t="s">
        <v>559</v>
      </c>
      <c r="D163" s="16" t="s">
        <v>560</v>
      </c>
      <c r="E163" s="16"/>
      <c r="F163" s="16" t="s">
        <v>561</v>
      </c>
      <c r="G163" s="15" t="s">
        <v>562</v>
      </c>
      <c r="H163" s="16" t="s">
        <v>254</v>
      </c>
      <c r="I163" s="16" t="s">
        <v>255</v>
      </c>
      <c r="J163" s="17">
        <v>68700000</v>
      </c>
      <c r="K163" s="18">
        <v>45761</v>
      </c>
      <c r="L163" s="18">
        <v>46030</v>
      </c>
      <c r="M163" s="16" t="s">
        <v>47</v>
      </c>
      <c r="N163" s="37" t="s">
        <v>1701</v>
      </c>
      <c r="O163" s="32" t="str">
        <f>IFERROR(VLOOKUP($G163,[1]DB2!$A:$B,2,0),"공동과책 확인")</f>
        <v>Jo, Ji Hye</v>
      </c>
      <c r="P163" s="32" t="s">
        <v>1613</v>
      </c>
      <c r="Q163" s="32"/>
      <c r="R163" s="32" t="str">
        <f>IFERROR(VLOOKUP($I163,[1]DB2!$F$2:$I$58,2,0),"옛날 부서명 확인")</f>
        <v xml:space="preserve">Circular Economy Division </v>
      </c>
      <c r="S163" s="32" t="str">
        <f>IFERROR(VLOOKUP($I163,[1]DB2!$F$2:$I$58,4,0),"옛날 부서명 확인")</f>
        <v xml:space="preserve">Sustainable Development Research Group  </v>
      </c>
    </row>
    <row r="164" spans="1:19" ht="18" customHeight="1">
      <c r="A164" s="15" t="s">
        <v>1964</v>
      </c>
      <c r="B164" s="15" t="s">
        <v>21</v>
      </c>
      <c r="C164" s="15" t="s">
        <v>563</v>
      </c>
      <c r="D164" s="16" t="s">
        <v>564</v>
      </c>
      <c r="E164" s="16"/>
      <c r="F164" s="16" t="s">
        <v>565</v>
      </c>
      <c r="G164" s="15" t="s">
        <v>566</v>
      </c>
      <c r="H164" s="16" t="s">
        <v>32</v>
      </c>
      <c r="I164" s="16" t="s">
        <v>27</v>
      </c>
      <c r="J164" s="17">
        <v>190000000</v>
      </c>
      <c r="K164" s="18">
        <v>45762</v>
      </c>
      <c r="L164" s="18">
        <v>46061</v>
      </c>
      <c r="M164" s="16" t="s">
        <v>47</v>
      </c>
      <c r="N164" s="37" t="s">
        <v>2351</v>
      </c>
      <c r="O164" s="32" t="str">
        <f>IFERROR(VLOOKUP($G164,[1]DB2!$A:$B,2,0),"공동과책 확인")</f>
        <v>Hong, Hyunjung</v>
      </c>
      <c r="P164" s="32" t="s">
        <v>1797</v>
      </c>
      <c r="Q164" s="43" t="s">
        <v>2256</v>
      </c>
      <c r="R164" s="32" t="str">
        <f>IFERROR(VLOOKUP($I164,[1]DB2!$F$2:$I$58,2,0),"옛날 부서명 확인")</f>
        <v xml:space="preserve">Natural Environment Division </v>
      </c>
      <c r="S164" s="32" t="str">
        <f>IFERROR(VLOOKUP($I164,[1]DB2!$F$2:$I$58,4,0),"옛날 부서명 확인")</f>
        <v xml:space="preserve">Land and Environment Research Group </v>
      </c>
    </row>
    <row r="165" spans="1:19" ht="18" customHeight="1">
      <c r="A165" s="15" t="s">
        <v>1965</v>
      </c>
      <c r="B165" s="15" t="s">
        <v>21</v>
      </c>
      <c r="C165" s="15" t="s">
        <v>567</v>
      </c>
      <c r="D165" s="16" t="s">
        <v>568</v>
      </c>
      <c r="E165" s="16"/>
      <c r="F165" s="16" t="s">
        <v>569</v>
      </c>
      <c r="G165" s="15" t="s">
        <v>570</v>
      </c>
      <c r="H165" s="16" t="s">
        <v>408</v>
      </c>
      <c r="I165" s="16" t="s">
        <v>409</v>
      </c>
      <c r="J165" s="17">
        <v>44800000</v>
      </c>
      <c r="K165" s="18">
        <v>45764</v>
      </c>
      <c r="L165" s="18">
        <v>46003</v>
      </c>
      <c r="M165" s="16" t="s">
        <v>47</v>
      </c>
      <c r="N165" s="37" t="s">
        <v>1702</v>
      </c>
      <c r="O165" s="32" t="str">
        <f>IFERROR(VLOOKUP($G165,[1]DB2!$A:$B,2,0),"공동과책 확인")</f>
        <v>Lee, Byungkwon</v>
      </c>
      <c r="P165" s="32" t="s">
        <v>2158</v>
      </c>
      <c r="Q165" s="32" t="s">
        <v>2257</v>
      </c>
      <c r="R165" s="32" t="str">
        <f>IFERROR(VLOOKUP($I165,[1]DB2!$F$2:$I$58,2,0),"옛날 부서명 확인")</f>
        <v xml:space="preserve">Land Strategy Assessment Division </v>
      </c>
      <c r="S165" s="32" t="str">
        <f>IFERROR(VLOOKUP($I165,[1]DB2!$F$2:$I$58,4,0),"옛날 부서명 확인")</f>
        <v xml:space="preserve">Environmental Assessment Group </v>
      </c>
    </row>
    <row r="166" spans="1:19" ht="18" customHeight="1">
      <c r="A166" s="15" t="s">
        <v>1966</v>
      </c>
      <c r="B166" s="15" t="s">
        <v>21</v>
      </c>
      <c r="C166" s="15" t="s">
        <v>573</v>
      </c>
      <c r="D166" s="16" t="s">
        <v>574</v>
      </c>
      <c r="E166" s="16"/>
      <c r="F166" s="16" t="s">
        <v>225</v>
      </c>
      <c r="G166" s="15" t="s">
        <v>226</v>
      </c>
      <c r="H166" s="16" t="s">
        <v>243</v>
      </c>
      <c r="I166" s="16" t="s">
        <v>147</v>
      </c>
      <c r="J166" s="17">
        <v>169599270</v>
      </c>
      <c r="K166" s="18">
        <v>45765</v>
      </c>
      <c r="L166" s="18">
        <v>46065</v>
      </c>
      <c r="M166" s="16" t="s">
        <v>192</v>
      </c>
      <c r="N166" s="37" t="s">
        <v>1704</v>
      </c>
      <c r="O166" s="32" t="str">
        <f>IFERROR(VLOOKUP($G166,[1]DB2!$A:$B,2,0),"공동과책 확인")</f>
        <v xml:space="preserve">Jung, Dawoon </v>
      </c>
      <c r="P166" s="32" t="s">
        <v>1615</v>
      </c>
      <c r="Q166" s="32" t="s">
        <v>2158</v>
      </c>
      <c r="R166" s="32" t="str">
        <f>IFERROR(VLOOKUP($I166,[1]DB2!$F$2:$I$58,2,0),"옛날 부서명 확인")</f>
        <v xml:space="preserve">Environmental Health Division </v>
      </c>
      <c r="S166" s="32" t="str">
        <f>IFERROR(VLOOKUP($I166,[1]DB2!$F$2:$I$58,4,0),"옛날 부서명 확인")</f>
        <v xml:space="preserve">Sustainable Development Research Group  </v>
      </c>
    </row>
    <row r="167" spans="1:19" ht="18" customHeight="1">
      <c r="A167" s="15" t="s">
        <v>1967</v>
      </c>
      <c r="B167" s="15" t="s">
        <v>21</v>
      </c>
      <c r="C167" s="15" t="s">
        <v>575</v>
      </c>
      <c r="D167" s="16" t="s">
        <v>576</v>
      </c>
      <c r="E167" s="16"/>
      <c r="F167" s="16" t="s">
        <v>577</v>
      </c>
      <c r="G167" s="15" t="s">
        <v>578</v>
      </c>
      <c r="H167" s="16" t="s">
        <v>343</v>
      </c>
      <c r="I167" s="16" t="s">
        <v>191</v>
      </c>
      <c r="J167" s="17">
        <v>81800000</v>
      </c>
      <c r="K167" s="18">
        <v>45770</v>
      </c>
      <c r="L167" s="18">
        <v>46001</v>
      </c>
      <c r="M167" s="16" t="s">
        <v>410</v>
      </c>
      <c r="N167" s="38" t="s">
        <v>2352</v>
      </c>
      <c r="O167" s="32" t="str">
        <f>IFERROR(VLOOKUP($G167,[1]DB2!$A:$B,2,0),"공동과책 확인")</f>
        <v>Choi, Ki-Chul</v>
      </c>
      <c r="P167" s="32" t="s">
        <v>1616</v>
      </c>
      <c r="Q167" s="32"/>
      <c r="R167" s="32" t="str">
        <f>IFERROR(VLOOKUP($I167,[1]DB2!$F$2:$I$58,2,0),"옛날 부서명 확인")</f>
        <v>Atmospheric Environment Division</v>
      </c>
      <c r="S167" s="32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5" t="s">
        <v>1968</v>
      </c>
      <c r="B168" s="15" t="s">
        <v>21</v>
      </c>
      <c r="C168" s="15" t="s">
        <v>579</v>
      </c>
      <c r="D168" s="16" t="s">
        <v>580</v>
      </c>
      <c r="E168" s="16"/>
      <c r="F168" s="16" t="s">
        <v>581</v>
      </c>
      <c r="G168" s="15" t="s">
        <v>582</v>
      </c>
      <c r="H168" s="16" t="s">
        <v>382</v>
      </c>
      <c r="I168" s="16" t="s">
        <v>383</v>
      </c>
      <c r="J168" s="17">
        <v>49200000</v>
      </c>
      <c r="K168" s="18">
        <v>45770</v>
      </c>
      <c r="L168" s="18">
        <v>45991</v>
      </c>
      <c r="M168" s="16" t="s">
        <v>47</v>
      </c>
      <c r="N168" s="37" t="s">
        <v>1705</v>
      </c>
      <c r="O168" s="32" t="str">
        <f>IFERROR(VLOOKUP($G168,[1]DB2!$A:$B,2,0),"공동과책 확인")</f>
        <v>Ha, Jongsik</v>
      </c>
      <c r="P168" s="32" t="s">
        <v>1618</v>
      </c>
      <c r="Q168" s="32" t="s">
        <v>1615</v>
      </c>
      <c r="R168" s="32" t="str">
        <f>IFERROR(VLOOKUP($I168,[1]DB2!$F$2:$I$58,2,0),"옛날 부서명 확인")</f>
        <v xml:space="preserve">Social Infrastructure Assessment Division </v>
      </c>
      <c r="S168" s="32" t="str">
        <f>IFERROR(VLOOKUP($I168,[1]DB2!$F$2:$I$58,4,0),"옛날 부서명 확인")</f>
        <v xml:space="preserve">Environmental Assessment Group </v>
      </c>
    </row>
    <row r="169" spans="1:19" ht="18" customHeight="1">
      <c r="A169" s="15" t="s">
        <v>1969</v>
      </c>
      <c r="B169" s="15" t="s">
        <v>21</v>
      </c>
      <c r="C169" s="15" t="s">
        <v>584</v>
      </c>
      <c r="D169" s="16" t="s">
        <v>585</v>
      </c>
      <c r="E169" s="16"/>
      <c r="F169" s="16" t="s">
        <v>586</v>
      </c>
      <c r="G169" s="15" t="s">
        <v>587</v>
      </c>
      <c r="H169" s="16" t="s">
        <v>198</v>
      </c>
      <c r="I169" s="16" t="s">
        <v>199</v>
      </c>
      <c r="J169" s="17">
        <v>39600000</v>
      </c>
      <c r="K169" s="18">
        <v>45770</v>
      </c>
      <c r="L169" s="18">
        <v>45979</v>
      </c>
      <c r="M169" s="16" t="s">
        <v>47</v>
      </c>
      <c r="N169" s="37" t="s">
        <v>1706</v>
      </c>
      <c r="O169" s="32" t="str">
        <f>IFERROR(VLOOKUP($G169,[1]DB2!$A:$B,2,0),"공동과책 확인")</f>
        <v>Kim, Yeonjoong</v>
      </c>
      <c r="P169" s="32" t="s">
        <v>1617</v>
      </c>
      <c r="Q169" s="32" t="s">
        <v>1613</v>
      </c>
      <c r="R169" s="32" t="str">
        <f>IFERROR(VLOOKUP($I169,[1]DB2!$F$2:$I$58,2,0),"옛날 부서명 확인")</f>
        <v xml:space="preserve">Water Management Division </v>
      </c>
      <c r="S169" s="32" t="str">
        <f>IFERROR(VLOOKUP($I169,[1]DB2!$F$2:$I$58,4,0),"옛날 부서명 확인")</f>
        <v xml:space="preserve">Land and Environment Research Group </v>
      </c>
    </row>
    <row r="170" spans="1:19" ht="18" customHeight="1">
      <c r="A170" s="15" t="s">
        <v>1970</v>
      </c>
      <c r="B170" s="15" t="s">
        <v>21</v>
      </c>
      <c r="C170" s="15" t="s">
        <v>588</v>
      </c>
      <c r="D170" s="16" t="s">
        <v>589</v>
      </c>
      <c r="E170" s="16"/>
      <c r="F170" s="16" t="s">
        <v>188</v>
      </c>
      <c r="G170" s="15" t="s">
        <v>189</v>
      </c>
      <c r="H170" s="16" t="s">
        <v>343</v>
      </c>
      <c r="I170" s="16" t="s">
        <v>191</v>
      </c>
      <c r="J170" s="17">
        <v>54000000</v>
      </c>
      <c r="K170" s="18">
        <v>45772</v>
      </c>
      <c r="L170" s="18">
        <v>45982</v>
      </c>
      <c r="M170" s="16" t="s">
        <v>590</v>
      </c>
      <c r="N170" s="37" t="s">
        <v>1707</v>
      </c>
      <c r="O170" s="32" t="str">
        <f>IFERROR(VLOOKUP($G170,[1]DB2!$A:$B,2,0),"공동과책 확인")</f>
        <v>Gong, Sungyong</v>
      </c>
      <c r="P170" s="32" t="s">
        <v>1616</v>
      </c>
      <c r="Q170" s="32"/>
      <c r="R170" s="32" t="str">
        <f>IFERROR(VLOOKUP($I170,[1]DB2!$F$2:$I$58,2,0),"옛날 부서명 확인")</f>
        <v>Atmospheric Environment Division</v>
      </c>
      <c r="S170" s="32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5" t="s">
        <v>1971</v>
      </c>
      <c r="B171" s="29" t="s">
        <v>21</v>
      </c>
      <c r="C171" s="29" t="s">
        <v>591</v>
      </c>
      <c r="D171" s="26" t="s">
        <v>592</v>
      </c>
      <c r="E171" s="26"/>
      <c r="F171" s="26" t="s">
        <v>236</v>
      </c>
      <c r="G171" s="29" t="s">
        <v>1815</v>
      </c>
      <c r="H171" s="26" t="s">
        <v>208</v>
      </c>
      <c r="I171" s="26" t="s">
        <v>1951</v>
      </c>
      <c r="J171" s="30">
        <v>161000000</v>
      </c>
      <c r="K171" s="31">
        <v>45776</v>
      </c>
      <c r="L171" s="31">
        <v>46112</v>
      </c>
      <c r="M171" s="26" t="s">
        <v>47</v>
      </c>
      <c r="N171" s="37" t="s">
        <v>2119</v>
      </c>
      <c r="O171" s="32" t="s">
        <v>2263</v>
      </c>
      <c r="P171" s="32" t="s">
        <v>2256</v>
      </c>
      <c r="Q171" s="32"/>
      <c r="R171" s="32" t="str">
        <f>IFERROR(VLOOKUP($I171,[1]DB2!$F$2:$I$58,2,0),"옛날 부서명 확인")</f>
        <v>Spatial Planning and Management Division</v>
      </c>
      <c r="S171" s="32" t="str">
        <f>IFERROR(VLOOKUP($I171,[1]DB2!$F$2:$I$58,4,0),"옛날 부서명 확인")</f>
        <v xml:space="preserve">Land and Environment Research Group </v>
      </c>
    </row>
    <row r="172" spans="1:19" ht="18" customHeight="1">
      <c r="A172" s="15" t="s">
        <v>1972</v>
      </c>
      <c r="B172" s="15" t="s">
        <v>836</v>
      </c>
      <c r="C172" s="15" t="s">
        <v>884</v>
      </c>
      <c r="D172" s="16" t="s">
        <v>885</v>
      </c>
      <c r="E172" s="16"/>
      <c r="F172" s="16" t="s">
        <v>886</v>
      </c>
      <c r="G172" s="15" t="s">
        <v>887</v>
      </c>
      <c r="H172" s="16" t="s">
        <v>888</v>
      </c>
      <c r="I172" s="16" t="s">
        <v>889</v>
      </c>
      <c r="J172" s="17">
        <v>100000000</v>
      </c>
      <c r="K172" s="18">
        <v>45778</v>
      </c>
      <c r="L172" s="18">
        <v>46142</v>
      </c>
      <c r="M172" s="16"/>
      <c r="N172" s="37" t="s">
        <v>1746</v>
      </c>
      <c r="O172" s="32" t="str">
        <f>IFERROR(VLOOKUP($G172,[1]DB2!$A:$B,2,0),"공동과책 확인")</f>
        <v>Choi, Kwanghun</v>
      </c>
      <c r="P172" s="32" t="s">
        <v>2257</v>
      </c>
      <c r="Q172" s="32"/>
      <c r="R172" s="32" t="str">
        <f>IFERROR(VLOOKUP($I172,[1]DB2!$F$2:$I$58,2,0),"옛날 부서명 확인")</f>
        <v xml:space="preserve">AI and Data Team </v>
      </c>
      <c r="S172" s="32" t="str">
        <f>IFERROR(VLOOKUP($I172,[1]DB2!$F$2:$I$58,4,0),"옛날 부서명 확인")</f>
        <v xml:space="preserve">Department of Planning and Strategy </v>
      </c>
    </row>
    <row r="173" spans="1:19" ht="18" customHeight="1">
      <c r="A173" s="15" t="s">
        <v>1973</v>
      </c>
      <c r="B173" s="15" t="s">
        <v>836</v>
      </c>
      <c r="C173" s="15" t="s">
        <v>890</v>
      </c>
      <c r="D173" s="16" t="s">
        <v>891</v>
      </c>
      <c r="E173" s="16"/>
      <c r="F173" s="16" t="s">
        <v>800</v>
      </c>
      <c r="G173" s="15" t="s">
        <v>801</v>
      </c>
      <c r="H173" s="16" t="s">
        <v>787</v>
      </c>
      <c r="I173" s="16" t="s">
        <v>788</v>
      </c>
      <c r="J173" s="17">
        <v>100000000</v>
      </c>
      <c r="K173" s="18">
        <v>45778</v>
      </c>
      <c r="L173" s="18">
        <v>46142</v>
      </c>
      <c r="M173" s="16"/>
      <c r="N173" s="37" t="s">
        <v>1747</v>
      </c>
      <c r="O173" s="32" t="str">
        <f>IFERROR(VLOOKUP($G173,[1]DB2!$A:$B,2,0),"공동과책 확인")</f>
        <v>Park, Jun Hyun</v>
      </c>
      <c r="P173" s="32" t="s">
        <v>2258</v>
      </c>
      <c r="Q173" s="32"/>
      <c r="R173" s="32" t="str">
        <f>IFERROR(VLOOKUP($I173,[1]DB2!$F$2:$I$58,2,0),"옛날 부서명 확인")</f>
        <v>Global Cooperation Team</v>
      </c>
      <c r="S173" s="32" t="str">
        <f>IFERROR(VLOOKUP($I173,[1]DB2!$F$2:$I$58,4,0),"옛날 부서명 확인")</f>
        <v xml:space="preserve">Department of Planning and Strategy </v>
      </c>
    </row>
    <row r="174" spans="1:19" ht="18" customHeight="1">
      <c r="A174" s="15" t="s">
        <v>1974</v>
      </c>
      <c r="B174" s="15" t="s">
        <v>836</v>
      </c>
      <c r="C174" s="15" t="s">
        <v>934</v>
      </c>
      <c r="D174" s="16" t="s">
        <v>935</v>
      </c>
      <c r="E174" s="16"/>
      <c r="F174" s="16" t="s">
        <v>735</v>
      </c>
      <c r="G174" s="15" t="s">
        <v>736</v>
      </c>
      <c r="H174" s="16" t="s">
        <v>394</v>
      </c>
      <c r="I174" s="16" t="s">
        <v>395</v>
      </c>
      <c r="J174" s="17">
        <v>15000000</v>
      </c>
      <c r="K174" s="18">
        <v>45778</v>
      </c>
      <c r="L174" s="18">
        <v>45961</v>
      </c>
      <c r="M174" s="16"/>
      <c r="N174" s="37" t="s">
        <v>2016</v>
      </c>
      <c r="O174" s="32" t="str">
        <f>IFERROR(VLOOKUP($G174,[1]DB2!$A:$B,2,0),"공동과책 확인")</f>
        <v xml:space="preserve">Heo, Namjoo </v>
      </c>
      <c r="P174" s="32" t="s">
        <v>1618</v>
      </c>
      <c r="Q174" s="32" t="s">
        <v>1614</v>
      </c>
      <c r="R174" s="32" t="str">
        <f>IFERROR(VLOOKUP($I174,[1]DB2!$F$2:$I$58,2,0),"옛날 부서명 확인")</f>
        <v xml:space="preserve">Climate and Energy Assessment Division </v>
      </c>
      <c r="S174" s="32" t="str">
        <f>IFERROR(VLOOKUP($I174,[1]DB2!$F$2:$I$58,4,0),"옛날 부서명 확인")</f>
        <v xml:space="preserve">Environmental Assessment Group </v>
      </c>
    </row>
    <row r="175" spans="1:19" ht="18" customHeight="1">
      <c r="A175" s="15" t="s">
        <v>1975</v>
      </c>
      <c r="B175" s="15" t="s">
        <v>836</v>
      </c>
      <c r="C175" s="15" t="s">
        <v>936</v>
      </c>
      <c r="D175" s="16" t="s">
        <v>937</v>
      </c>
      <c r="E175" s="16"/>
      <c r="F175" s="16" t="s">
        <v>115</v>
      </c>
      <c r="G175" s="15" t="s">
        <v>116</v>
      </c>
      <c r="H175" s="16" t="s">
        <v>254</v>
      </c>
      <c r="I175" s="16" t="s">
        <v>255</v>
      </c>
      <c r="J175" s="17">
        <v>105000000</v>
      </c>
      <c r="K175" s="18">
        <v>45778</v>
      </c>
      <c r="L175" s="18">
        <v>46142</v>
      </c>
      <c r="M175" s="16"/>
      <c r="N175" s="37" t="s">
        <v>1760</v>
      </c>
      <c r="O175" s="32" t="str">
        <f>IFERROR(VLOOKUP($G175,[1]DB2!$A:$B,2,0),"공동과책 확인")</f>
        <v>Kim, Jongho</v>
      </c>
      <c r="P175" s="32" t="s">
        <v>2259</v>
      </c>
      <c r="Q175" s="43" t="s">
        <v>2257</v>
      </c>
      <c r="R175" s="32" t="str">
        <f>IFERROR(VLOOKUP($I175,[1]DB2!$F$2:$I$58,2,0),"옛날 부서명 확인")</f>
        <v xml:space="preserve">Circular Economy Division </v>
      </c>
      <c r="S175" s="32" t="str">
        <f>IFERROR(VLOOKUP($I175,[1]DB2!$F$2:$I$58,4,0),"옛날 부서명 확인")</f>
        <v xml:space="preserve">Sustainable Development Research Group  </v>
      </c>
    </row>
    <row r="176" spans="1:19" ht="18" customHeight="1">
      <c r="A176" s="15" t="s">
        <v>1976</v>
      </c>
      <c r="B176" s="15" t="s">
        <v>836</v>
      </c>
      <c r="C176" s="15" t="s">
        <v>938</v>
      </c>
      <c r="D176" s="16" t="s">
        <v>939</v>
      </c>
      <c r="E176" s="16"/>
      <c r="F176" s="16" t="s">
        <v>940</v>
      </c>
      <c r="G176" s="15" t="s">
        <v>941</v>
      </c>
      <c r="H176" s="16" t="s">
        <v>297</v>
      </c>
      <c r="I176" s="16" t="s">
        <v>298</v>
      </c>
      <c r="J176" s="17">
        <v>50000000</v>
      </c>
      <c r="K176" s="18">
        <v>45778</v>
      </c>
      <c r="L176" s="18">
        <v>46142</v>
      </c>
      <c r="M176" s="16"/>
      <c r="N176" s="37" t="s">
        <v>1761</v>
      </c>
      <c r="O176" s="32" t="str">
        <f>IFERROR(VLOOKUP($G176,[1]DB2!$A:$B,2,0),"공동과책 확인")</f>
        <v xml:space="preserve">Kim, Hyun-gyu </v>
      </c>
      <c r="P176" s="32" t="s">
        <v>1621</v>
      </c>
      <c r="Q176" s="32" t="s">
        <v>2255</v>
      </c>
      <c r="R176" s="32" t="str">
        <f>IFERROR(VLOOKUP($I176,[1]DB2!$F$2:$I$58,2,0),"옛날 부서명 확인")</f>
        <v xml:space="preserve">Climate Adaptation Policy Division </v>
      </c>
      <c r="S176" s="32" t="str">
        <f>IFERROR(VLOOKUP($I176,[1]DB2!$F$2:$I$58,4,0),"옛날 부서명 확인")</f>
        <v xml:space="preserve">Korea Adaptation Center for Climate Change </v>
      </c>
    </row>
    <row r="177" spans="1:19" ht="18" customHeight="1">
      <c r="A177" s="15" t="s">
        <v>1977</v>
      </c>
      <c r="B177" s="15" t="s">
        <v>836</v>
      </c>
      <c r="C177" s="15" t="s">
        <v>942</v>
      </c>
      <c r="D177" s="16" t="s">
        <v>943</v>
      </c>
      <c r="E177" s="16"/>
      <c r="F177" s="16" t="s">
        <v>470</v>
      </c>
      <c r="G177" s="15" t="s">
        <v>471</v>
      </c>
      <c r="H177" s="16" t="s">
        <v>297</v>
      </c>
      <c r="I177" s="16" t="s">
        <v>298</v>
      </c>
      <c r="J177" s="17">
        <v>50000000</v>
      </c>
      <c r="K177" s="18">
        <v>45778</v>
      </c>
      <c r="L177" s="18">
        <v>46142</v>
      </c>
      <c r="M177" s="16"/>
      <c r="N177" s="37" t="s">
        <v>2381</v>
      </c>
      <c r="O177" s="32" t="str">
        <f>IFERROR(VLOOKUP($G177,[1]DB2!$A:$B,2,0),"공동과책 확인")</f>
        <v xml:space="preserve">Song, Jiyoon </v>
      </c>
      <c r="P177" s="32" t="s">
        <v>2256</v>
      </c>
      <c r="Q177" s="32" t="s">
        <v>1798</v>
      </c>
      <c r="R177" s="32" t="str">
        <f>IFERROR(VLOOKUP($I177,[1]DB2!$F$2:$I$58,2,0),"옛날 부서명 확인")</f>
        <v xml:space="preserve">Climate Adaptation Policy Division </v>
      </c>
      <c r="S177" s="32" t="str">
        <f>IFERROR(VLOOKUP($I177,[1]DB2!$F$2:$I$58,4,0),"옛날 부서명 확인")</f>
        <v xml:space="preserve">Korea Adaptation Center for Climate Change </v>
      </c>
    </row>
    <row r="178" spans="1:19" ht="18" customHeight="1">
      <c r="A178" s="15" t="s">
        <v>1978</v>
      </c>
      <c r="B178" s="15" t="s">
        <v>836</v>
      </c>
      <c r="C178" s="15" t="s">
        <v>944</v>
      </c>
      <c r="D178" s="16" t="s">
        <v>945</v>
      </c>
      <c r="E178" s="16"/>
      <c r="F178" s="16" t="s">
        <v>946</v>
      </c>
      <c r="G178" s="15" t="s">
        <v>947</v>
      </c>
      <c r="H178" s="16" t="s">
        <v>476</v>
      </c>
      <c r="I178" s="16" t="s">
        <v>477</v>
      </c>
      <c r="J178" s="17">
        <v>40000000</v>
      </c>
      <c r="K178" s="18">
        <v>45778</v>
      </c>
      <c r="L178" s="18">
        <v>46142</v>
      </c>
      <c r="M178" s="16"/>
      <c r="N178" s="37" t="s">
        <v>2353</v>
      </c>
      <c r="O178" s="32" t="str">
        <f>IFERROR(VLOOKUP($G178,[1]DB2!$A:$B,2,0),"공동과책 확인")</f>
        <v xml:space="preserve">Rhee, Youngjoon </v>
      </c>
      <c r="P178" s="32" t="s">
        <v>1617</v>
      </c>
      <c r="Q178" s="32" t="s">
        <v>1618</v>
      </c>
      <c r="R178" s="32" t="str">
        <f>IFERROR(VLOOKUP($I178,[1]DB2!$F$2:$I$58,2,0),"옛날 부서명 확인")</f>
        <v xml:space="preserve">Environmental Resources Assessment Division </v>
      </c>
      <c r="S178" s="32" t="str">
        <f>IFERROR(VLOOKUP($I178,[1]DB2!$F$2:$I$58,4,0),"옛날 부서명 확인")</f>
        <v xml:space="preserve">Environmental Assessment Group </v>
      </c>
    </row>
    <row r="179" spans="1:19" ht="18" customHeight="1">
      <c r="A179" s="15" t="s">
        <v>1979</v>
      </c>
      <c r="B179" s="15" t="s">
        <v>836</v>
      </c>
      <c r="C179" s="15" t="s">
        <v>948</v>
      </c>
      <c r="D179" s="16" t="s">
        <v>949</v>
      </c>
      <c r="E179" s="16"/>
      <c r="F179" s="16" t="s">
        <v>348</v>
      </c>
      <c r="G179" s="15" t="s">
        <v>349</v>
      </c>
      <c r="H179" s="16" t="s">
        <v>32</v>
      </c>
      <c r="I179" s="16" t="s">
        <v>2376</v>
      </c>
      <c r="J179" s="17">
        <v>40000000</v>
      </c>
      <c r="K179" s="18">
        <v>45778</v>
      </c>
      <c r="L179" s="18">
        <v>46142</v>
      </c>
      <c r="M179" s="16"/>
      <c r="N179" s="37" t="s">
        <v>2379</v>
      </c>
      <c r="O179" s="32" t="str">
        <f>IFERROR(VLOOKUP($G179,[1]DB2!$A:$B,2,0),"공동과책 확인")</f>
        <v>Kim, Choong-ki</v>
      </c>
      <c r="P179" s="32" t="s">
        <v>1620</v>
      </c>
      <c r="Q179" s="32" t="s">
        <v>2256</v>
      </c>
      <c r="R179" s="32" t="str">
        <f>IFERROR(VLOOKUP($I179,[1]DB2!$F$2:$I$58,2,0),"옛날 부서명 확인")</f>
        <v xml:space="preserve">Natural Environment Division </v>
      </c>
      <c r="S179" s="32" t="str">
        <f>IFERROR(VLOOKUP($I179,[1]DB2!$F$2:$I$58,4,0),"옛날 부서명 확인")</f>
        <v xml:space="preserve">Land and Environment Research Group </v>
      </c>
    </row>
    <row r="180" spans="1:19" ht="18" customHeight="1">
      <c r="A180" s="15" t="s">
        <v>1980</v>
      </c>
      <c r="B180" s="15" t="s">
        <v>21</v>
      </c>
      <c r="C180" s="15" t="s">
        <v>601</v>
      </c>
      <c r="D180" s="16" t="s">
        <v>602</v>
      </c>
      <c r="E180" s="16"/>
      <c r="F180" s="16" t="s">
        <v>603</v>
      </c>
      <c r="G180" s="15" t="s">
        <v>604</v>
      </c>
      <c r="H180" s="16" t="s">
        <v>198</v>
      </c>
      <c r="I180" s="16" t="s">
        <v>2374</v>
      </c>
      <c r="J180" s="17">
        <v>90909090</v>
      </c>
      <c r="K180" s="18">
        <v>45789</v>
      </c>
      <c r="L180" s="18">
        <v>46001</v>
      </c>
      <c r="M180" s="16" t="s">
        <v>436</v>
      </c>
      <c r="N180" s="37" t="s">
        <v>1709</v>
      </c>
      <c r="O180" s="32" t="str">
        <f>IFERROR(VLOOKUP($G180,[1]DB2!$A:$B,2,0),"공동과책 확인")</f>
        <v>Lee, Jeongho</v>
      </c>
      <c r="P180" s="32" t="s">
        <v>2256</v>
      </c>
      <c r="Q180" s="32"/>
      <c r="R180" s="32" t="str">
        <f>IFERROR(VLOOKUP($I180,'DB2'!$F$2:$I$58,2,0),"옛날 부서명 확인")</f>
        <v>National Sustainable Development Research Center</v>
      </c>
      <c r="S180" s="32" t="str">
        <f>IFERROR(VLOOKUP($I180,'DB2'!$F$2:$I$58,2,0),"옛날 부서명 확인")</f>
        <v>National Sustainable Development Research Center</v>
      </c>
    </row>
    <row r="181" spans="1:19" ht="18" customHeight="1">
      <c r="A181" s="15" t="s">
        <v>1981</v>
      </c>
      <c r="B181" s="15" t="s">
        <v>21</v>
      </c>
      <c r="C181" s="15" t="s">
        <v>605</v>
      </c>
      <c r="D181" s="16" t="s">
        <v>606</v>
      </c>
      <c r="E181" s="16"/>
      <c r="F181" s="16" t="s">
        <v>129</v>
      </c>
      <c r="G181" s="15" t="s">
        <v>130</v>
      </c>
      <c r="H181" s="16" t="s">
        <v>198</v>
      </c>
      <c r="I181" s="16" t="s">
        <v>199</v>
      </c>
      <c r="J181" s="17">
        <v>44800000</v>
      </c>
      <c r="K181" s="18">
        <v>45789</v>
      </c>
      <c r="L181" s="18">
        <v>45989</v>
      </c>
      <c r="M181" s="16" t="s">
        <v>47</v>
      </c>
      <c r="N181" s="37" t="s">
        <v>1710</v>
      </c>
      <c r="O181" s="32" t="str">
        <f>IFERROR(VLOOKUP($G181,[1]DB2!$A:$B,2,0),"공동과책 확인")</f>
        <v>Han, Daeho</v>
      </c>
      <c r="P181" s="32" t="s">
        <v>1617</v>
      </c>
      <c r="Q181" s="32" t="s">
        <v>1615</v>
      </c>
      <c r="R181" s="32" t="str">
        <f>IFERROR(VLOOKUP($I181,[1]DB2!$F$2:$I$58,2,0),"옛날 부서명 확인")</f>
        <v xml:space="preserve">Water Management Division </v>
      </c>
      <c r="S181" s="32" t="str">
        <f>IFERROR(VLOOKUP($I181,[1]DB2!$F$2:$I$58,4,0),"옛날 부서명 확인")</f>
        <v xml:space="preserve">Land and Environment Research Group </v>
      </c>
    </row>
    <row r="182" spans="1:19" ht="18" customHeight="1">
      <c r="A182" s="15" t="s">
        <v>1982</v>
      </c>
      <c r="B182" s="15" t="s">
        <v>21</v>
      </c>
      <c r="C182" s="15" t="s">
        <v>607</v>
      </c>
      <c r="D182" s="16" t="s">
        <v>608</v>
      </c>
      <c r="E182" s="16"/>
      <c r="F182" s="16" t="s">
        <v>91</v>
      </c>
      <c r="G182" s="15" t="s">
        <v>92</v>
      </c>
      <c r="H182" s="16" t="s">
        <v>198</v>
      </c>
      <c r="I182" s="16" t="s">
        <v>199</v>
      </c>
      <c r="J182" s="17">
        <v>96950000</v>
      </c>
      <c r="K182" s="18">
        <v>45790</v>
      </c>
      <c r="L182" s="18">
        <v>46154</v>
      </c>
      <c r="M182" s="16" t="s">
        <v>47</v>
      </c>
      <c r="N182" s="37" t="s">
        <v>1711</v>
      </c>
      <c r="O182" s="32" t="str">
        <f>IFERROR(VLOOKUP($G182,[1]DB2!$A:$B,2,0),"공동과책 확인")</f>
        <v>Kim, Ikjae</v>
      </c>
      <c r="P182" s="32" t="s">
        <v>1617</v>
      </c>
      <c r="Q182" s="32" t="s">
        <v>2258</v>
      </c>
      <c r="R182" s="32" t="str">
        <f>IFERROR(VLOOKUP($I182,[1]DB2!$F$2:$I$58,2,0),"옛날 부서명 확인")</f>
        <v xml:space="preserve">Water Management Division </v>
      </c>
      <c r="S182" s="32" t="str">
        <f>IFERROR(VLOOKUP($I182,[1]DB2!$F$2:$I$58,4,0),"옛날 부서명 확인")</f>
        <v xml:space="preserve">Land and Environment Research Group </v>
      </c>
    </row>
    <row r="183" spans="1:19" ht="18" customHeight="1">
      <c r="A183" s="15" t="s">
        <v>1983</v>
      </c>
      <c r="B183" s="29" t="s">
        <v>21</v>
      </c>
      <c r="C183" s="29" t="s">
        <v>609</v>
      </c>
      <c r="D183" s="26" t="s">
        <v>610</v>
      </c>
      <c r="E183" s="26"/>
      <c r="F183" s="26" t="s">
        <v>44</v>
      </c>
      <c r="G183" s="29" t="s">
        <v>45</v>
      </c>
      <c r="H183" s="25" t="s">
        <v>208</v>
      </c>
      <c r="I183" s="26" t="s">
        <v>209</v>
      </c>
      <c r="J183" s="30">
        <v>63000000</v>
      </c>
      <c r="K183" s="31">
        <v>45790</v>
      </c>
      <c r="L183" s="31">
        <v>46211</v>
      </c>
      <c r="M183" s="26" t="s">
        <v>47</v>
      </c>
      <c r="N183" s="37" t="s">
        <v>1712</v>
      </c>
      <c r="O183" s="32" t="str">
        <f>IFERROR(VLOOKUP($G183,[1]DB2!$A:$B,2,0),"공동과책 확인")</f>
        <v>Son, Seungwoo</v>
      </c>
      <c r="P183" s="32" t="s">
        <v>2256</v>
      </c>
      <c r="Q183" s="32" t="s">
        <v>1614</v>
      </c>
      <c r="R183" s="32" t="str">
        <f>IFERROR(VLOOKUP($I183,[1]DB2!$F$2:$I$58,2,0),"옛날 부서명 확인")</f>
        <v>Spatial Planning and Management Division</v>
      </c>
      <c r="S183" s="32" t="str">
        <f>IFERROR(VLOOKUP($I183,[1]DB2!$F$2:$I$58,4,0),"옛날 부서명 확인")</f>
        <v xml:space="preserve">Land and Environment Research Group </v>
      </c>
    </row>
    <row r="184" spans="1:19" ht="18" customHeight="1">
      <c r="A184" s="15" t="s">
        <v>1984</v>
      </c>
      <c r="B184" s="15" t="s">
        <v>21</v>
      </c>
      <c r="C184" s="15" t="s">
        <v>611</v>
      </c>
      <c r="D184" s="16" t="s">
        <v>612</v>
      </c>
      <c r="E184" s="16"/>
      <c r="F184" s="16" t="s">
        <v>97</v>
      </c>
      <c r="G184" s="15" t="s">
        <v>98</v>
      </c>
      <c r="H184" s="16" t="s">
        <v>332</v>
      </c>
      <c r="I184" s="16" t="s">
        <v>333</v>
      </c>
      <c r="J184" s="17">
        <v>85900000</v>
      </c>
      <c r="K184" s="18">
        <v>45790</v>
      </c>
      <c r="L184" s="18">
        <v>46154</v>
      </c>
      <c r="M184" s="16" t="s">
        <v>117</v>
      </c>
      <c r="N184" s="37" t="s">
        <v>1713</v>
      </c>
      <c r="O184" s="32" t="str">
        <f>IFERROR(VLOOKUP($G184,[1]DB2!$A:$B,2,0),"공동과책 확인")</f>
        <v>Kang, Sungwon</v>
      </c>
      <c r="P184" s="32" t="s">
        <v>1621</v>
      </c>
      <c r="Q184" s="32"/>
      <c r="R184" s="32" t="str">
        <f>IFERROR(VLOOKUP($I184,[1]DB2!$F$2:$I$58,2,0),"옛날 부서명 확인")</f>
        <v xml:space="preserve">Green Economy Division </v>
      </c>
      <c r="S184" s="32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5" t="s">
        <v>1985</v>
      </c>
      <c r="B185" s="15" t="s">
        <v>21</v>
      </c>
      <c r="C185" s="15" t="s">
        <v>613</v>
      </c>
      <c r="D185" s="16" t="s">
        <v>614</v>
      </c>
      <c r="E185" s="16"/>
      <c r="F185" s="16" t="s">
        <v>91</v>
      </c>
      <c r="G185" s="15" t="s">
        <v>92</v>
      </c>
      <c r="H185" s="16" t="s">
        <v>198</v>
      </c>
      <c r="I185" s="16" t="s">
        <v>199</v>
      </c>
      <c r="J185" s="17">
        <v>406090000</v>
      </c>
      <c r="K185" s="18">
        <v>45790</v>
      </c>
      <c r="L185" s="18">
        <v>46154</v>
      </c>
      <c r="M185" s="16" t="s">
        <v>47</v>
      </c>
      <c r="N185" s="37" t="s">
        <v>1714</v>
      </c>
      <c r="O185" s="32" t="str">
        <f>IFERROR(VLOOKUP($G185,[1]DB2!$A:$B,2,0),"공동과책 확인")</f>
        <v>Kim, Ikjae</v>
      </c>
      <c r="P185" s="32" t="s">
        <v>1617</v>
      </c>
      <c r="Q185" s="32" t="s">
        <v>2258</v>
      </c>
      <c r="R185" s="32" t="str">
        <f>IFERROR(VLOOKUP($I185,[1]DB2!$F$2:$I$58,2,0),"옛날 부서명 확인")</f>
        <v xml:space="preserve">Water Management Division </v>
      </c>
      <c r="S185" s="32" t="str">
        <f>IFERROR(VLOOKUP($I185,[1]DB2!$F$2:$I$58,4,0),"옛날 부서명 확인")</f>
        <v xml:space="preserve">Land and Environment Research Group </v>
      </c>
    </row>
    <row r="186" spans="1:19" ht="18" customHeight="1">
      <c r="A186" s="15" t="s">
        <v>1986</v>
      </c>
      <c r="B186" s="15" t="s">
        <v>21</v>
      </c>
      <c r="C186" s="15" t="s">
        <v>623</v>
      </c>
      <c r="D186" s="16" t="s">
        <v>624</v>
      </c>
      <c r="E186" s="16"/>
      <c r="F186" s="16" t="s">
        <v>44</v>
      </c>
      <c r="G186" s="15" t="s">
        <v>45</v>
      </c>
      <c r="H186" s="16" t="s">
        <v>208</v>
      </c>
      <c r="I186" s="16" t="s">
        <v>209</v>
      </c>
      <c r="J186" s="17">
        <v>142600000</v>
      </c>
      <c r="K186" s="18">
        <v>45793</v>
      </c>
      <c r="L186" s="18">
        <v>46157</v>
      </c>
      <c r="M186" s="16" t="s">
        <v>47</v>
      </c>
      <c r="N186" s="37" t="s">
        <v>1716</v>
      </c>
      <c r="O186" s="32" t="str">
        <f>IFERROR(VLOOKUP($G186,[1]DB2!$A:$B,2,0),"공동과책 확인")</f>
        <v>Son, Seungwoo</v>
      </c>
      <c r="P186" s="32" t="s">
        <v>2256</v>
      </c>
      <c r="Q186" s="32" t="s">
        <v>1614</v>
      </c>
      <c r="R186" s="32" t="str">
        <f>IFERROR(VLOOKUP($I186,[1]DB2!$F$2:$I$58,2,0),"옛날 부서명 확인")</f>
        <v>Spatial Planning and Management Division</v>
      </c>
      <c r="S186" s="32" t="str">
        <f>IFERROR(VLOOKUP($I186,[1]DB2!$F$2:$I$58,4,0),"옛날 부서명 확인")</f>
        <v xml:space="preserve">Land and Environment Research Group </v>
      </c>
    </row>
    <row r="187" spans="1:19" ht="18" customHeight="1">
      <c r="A187" s="15" t="s">
        <v>1987</v>
      </c>
      <c r="B187" s="15" t="s">
        <v>21</v>
      </c>
      <c r="C187" s="15" t="s">
        <v>620</v>
      </c>
      <c r="D187" s="16" t="s">
        <v>621</v>
      </c>
      <c r="E187" s="16"/>
      <c r="F187" s="16" t="s">
        <v>561</v>
      </c>
      <c r="G187" s="15" t="s">
        <v>562</v>
      </c>
      <c r="H187" s="16" t="s">
        <v>254</v>
      </c>
      <c r="I187" s="16" t="s">
        <v>255</v>
      </c>
      <c r="J187" s="17">
        <v>144000000</v>
      </c>
      <c r="K187" s="18">
        <v>45796</v>
      </c>
      <c r="L187" s="18">
        <v>46035</v>
      </c>
      <c r="M187" s="16" t="s">
        <v>47</v>
      </c>
      <c r="N187" s="37" t="s">
        <v>1715</v>
      </c>
      <c r="O187" s="32" t="str">
        <f>IFERROR(VLOOKUP($G187,[1]DB2!$A:$B,2,0),"공동과책 확인")</f>
        <v>Jo, Ji Hye</v>
      </c>
      <c r="P187" s="32" t="s">
        <v>1613</v>
      </c>
      <c r="Q187" s="32" t="s">
        <v>2259</v>
      </c>
      <c r="R187" s="32" t="str">
        <f>IFERROR(VLOOKUP($I187,[1]DB2!$F$2:$I$58,2,0),"옛날 부서명 확인")</f>
        <v xml:space="preserve">Circular Economy Division </v>
      </c>
      <c r="S187" s="32" t="str">
        <f>IFERROR(VLOOKUP($I187,[1]DB2!$F$2:$I$58,4,0),"옛날 부서명 확인")</f>
        <v xml:space="preserve">Sustainable Development Research Group  </v>
      </c>
    </row>
    <row r="188" spans="1:19" ht="18" customHeight="1">
      <c r="A188" s="15" t="s">
        <v>1988</v>
      </c>
      <c r="B188" s="15" t="s">
        <v>21</v>
      </c>
      <c r="C188" s="15" t="s">
        <v>626</v>
      </c>
      <c r="D188" s="16" t="s">
        <v>627</v>
      </c>
      <c r="E188" s="16"/>
      <c r="F188" s="16" t="s">
        <v>548</v>
      </c>
      <c r="G188" s="15" t="s">
        <v>549</v>
      </c>
      <c r="H188" s="16" t="s">
        <v>425</v>
      </c>
      <c r="I188" s="16" t="s">
        <v>124</v>
      </c>
      <c r="J188" s="17">
        <v>98900000</v>
      </c>
      <c r="K188" s="18">
        <v>45800</v>
      </c>
      <c r="L188" s="18">
        <v>46022</v>
      </c>
      <c r="M188" s="16" t="s">
        <v>47</v>
      </c>
      <c r="N188" s="37" t="s">
        <v>2550</v>
      </c>
      <c r="O188" s="32" t="str">
        <f>IFERROR(VLOOKUP($G188,[1]DB2!$A:$B,2,0),"공동과책 확인")</f>
        <v xml:space="preserve">Moon, Jongwoo </v>
      </c>
      <c r="P188" s="32" t="s">
        <v>2255</v>
      </c>
      <c r="Q188" s="32" t="s">
        <v>2258</v>
      </c>
      <c r="R188" s="32" t="str">
        <f>IFERROR(VLOOKUP($I188,[1]DB2!$F$2:$I$58,2,0),"옛날 부서명 확인")</f>
        <v xml:space="preserve">Carbon Neutrality Division </v>
      </c>
      <c r="S188" s="32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5" t="s">
        <v>1989</v>
      </c>
      <c r="B189" s="15" t="s">
        <v>21</v>
      </c>
      <c r="C189" s="15" t="s">
        <v>629</v>
      </c>
      <c r="D189" s="16" t="s">
        <v>630</v>
      </c>
      <c r="E189" s="16"/>
      <c r="F189" s="16" t="s">
        <v>273</v>
      </c>
      <c r="G189" s="15" t="s">
        <v>274</v>
      </c>
      <c r="H189" s="16" t="s">
        <v>198</v>
      </c>
      <c r="I189" s="16" t="s">
        <v>199</v>
      </c>
      <c r="J189" s="17">
        <v>40000000</v>
      </c>
      <c r="K189" s="18">
        <v>45803</v>
      </c>
      <c r="L189" s="18">
        <v>45952</v>
      </c>
      <c r="M189" s="16" t="s">
        <v>631</v>
      </c>
      <c r="N189" s="37" t="s">
        <v>1717</v>
      </c>
      <c r="O189" s="32" t="str">
        <f>IFERROR(VLOOKUP($G189,[1]DB2!$A:$B,2,0),"공동과책 확인")</f>
        <v>Jeon, Dongjin</v>
      </c>
      <c r="P189" s="32" t="s">
        <v>1617</v>
      </c>
      <c r="Q189" s="32" t="s">
        <v>1622</v>
      </c>
      <c r="R189" s="32" t="str">
        <f>IFERROR(VLOOKUP($I189,[1]DB2!$F$2:$I$58,2,0),"옛날 부서명 확인")</f>
        <v xml:space="preserve">Water Management Division </v>
      </c>
      <c r="S189" s="32" t="str">
        <f>IFERROR(VLOOKUP($I189,[1]DB2!$F$2:$I$58,4,0),"옛날 부서명 확인")</f>
        <v xml:space="preserve">Land and Environment Research Group </v>
      </c>
    </row>
    <row r="190" spans="1:19" ht="18" customHeight="1">
      <c r="A190" s="15" t="s">
        <v>1990</v>
      </c>
      <c r="B190" s="15" t="s">
        <v>21</v>
      </c>
      <c r="C190" s="15" t="s">
        <v>633</v>
      </c>
      <c r="D190" s="16" t="s">
        <v>2266</v>
      </c>
      <c r="E190" s="16"/>
      <c r="F190" s="16" t="s">
        <v>284</v>
      </c>
      <c r="G190" s="15" t="s">
        <v>285</v>
      </c>
      <c r="H190" s="16" t="s">
        <v>38</v>
      </c>
      <c r="I190" s="16" t="s">
        <v>39</v>
      </c>
      <c r="J190" s="17">
        <v>85363630</v>
      </c>
      <c r="K190" s="18">
        <v>45803</v>
      </c>
      <c r="L190" s="18">
        <v>45991</v>
      </c>
      <c r="M190" s="16" t="s">
        <v>634</v>
      </c>
      <c r="N190" s="38" t="s">
        <v>2354</v>
      </c>
      <c r="O190" s="32" t="str">
        <f>IFERROR(VLOOKUP($G190,[1]DB2!$A:$B,2,0),"공동과책 확인")</f>
        <v>Chung, Woo Hyun</v>
      </c>
      <c r="P190" s="32" t="s">
        <v>2259</v>
      </c>
      <c r="Q190" s="32"/>
      <c r="R190" s="32" t="str">
        <f>IFERROR(VLOOKUP($I190,[1]DB2!$F$2:$I$58,2,0),"옛날 부서명 확인")</f>
        <v xml:space="preserve">Living Environment and Society Division </v>
      </c>
      <c r="S190" s="32" t="str">
        <f>IFERROR(VLOOKUP($I190,[1]DB2!$F$2:$I$58,4,0),"옛날 부서명 확인")</f>
        <v xml:space="preserve">Sustainable Development Research Group  </v>
      </c>
    </row>
    <row r="191" spans="1:19" ht="18" customHeight="1">
      <c r="A191" s="15" t="s">
        <v>1991</v>
      </c>
      <c r="B191" s="15" t="s">
        <v>21</v>
      </c>
      <c r="C191" s="15" t="s">
        <v>636</v>
      </c>
      <c r="D191" s="16" t="s">
        <v>637</v>
      </c>
      <c r="E191" s="16"/>
      <c r="F191" s="16" t="s">
        <v>315</v>
      </c>
      <c r="G191" s="15" t="s">
        <v>316</v>
      </c>
      <c r="H191" s="16" t="s">
        <v>198</v>
      </c>
      <c r="I191" s="16" t="s">
        <v>199</v>
      </c>
      <c r="J191" s="17">
        <v>50000000</v>
      </c>
      <c r="K191" s="18">
        <v>45806</v>
      </c>
      <c r="L191" s="18">
        <v>45960</v>
      </c>
      <c r="M191" s="16" t="s">
        <v>631</v>
      </c>
      <c r="N191" s="37" t="s">
        <v>1718</v>
      </c>
      <c r="O191" s="32" t="str">
        <f>IFERROR(VLOOKUP($G191,[1]DB2!$A:$B,2,0),"공동과책 확인")</f>
        <v xml:space="preserve">Lee, Seungsoo </v>
      </c>
      <c r="P191" s="32" t="s">
        <v>1621</v>
      </c>
      <c r="Q191" s="32"/>
      <c r="R191" s="32" t="str">
        <f>IFERROR(VLOOKUP($I191,[1]DB2!$F$2:$I$58,2,0),"옛날 부서명 확인")</f>
        <v xml:space="preserve">Water Management Division </v>
      </c>
      <c r="S191" s="32" t="str">
        <f>IFERROR(VLOOKUP($I191,[1]DB2!$F$2:$I$58,4,0),"옛날 부서명 확인")</f>
        <v xml:space="preserve">Land and Environment Research Group </v>
      </c>
    </row>
    <row r="192" spans="1:19" ht="18" customHeight="1">
      <c r="A192" s="15" t="s">
        <v>1992</v>
      </c>
      <c r="B192" s="15" t="s">
        <v>21</v>
      </c>
      <c r="C192" s="15" t="s">
        <v>648</v>
      </c>
      <c r="D192" s="16" t="s">
        <v>2267</v>
      </c>
      <c r="E192" s="16"/>
      <c r="F192" s="16" t="s">
        <v>315</v>
      </c>
      <c r="G192" s="15" t="s">
        <v>316</v>
      </c>
      <c r="H192" s="16" t="s">
        <v>198</v>
      </c>
      <c r="I192" s="16" t="s">
        <v>199</v>
      </c>
      <c r="J192" s="17">
        <v>130000000</v>
      </c>
      <c r="K192" s="18">
        <v>45809</v>
      </c>
      <c r="L192" s="18">
        <v>46022</v>
      </c>
      <c r="M192" s="16" t="s">
        <v>649</v>
      </c>
      <c r="N192" s="37" t="s">
        <v>1721</v>
      </c>
      <c r="O192" s="32" t="str">
        <f>IFERROR(VLOOKUP($G192,[1]DB2!$A:$B,2,0),"공동과책 확인")</f>
        <v xml:space="preserve">Lee, Seungsoo </v>
      </c>
      <c r="P192" s="32" t="s">
        <v>1617</v>
      </c>
      <c r="Q192" s="32"/>
      <c r="R192" s="32" t="str">
        <f>IFERROR(VLOOKUP($I192,[1]DB2!$F$2:$I$58,2,0),"옛날 부서명 확인")</f>
        <v xml:space="preserve">Water Management Division </v>
      </c>
      <c r="S192" s="32" t="str">
        <f>IFERROR(VLOOKUP($I192,[1]DB2!$F$2:$I$58,4,0),"옛날 부서명 확인")</f>
        <v xml:space="preserve">Land and Environment Research Group </v>
      </c>
    </row>
    <row r="193" spans="1:19" ht="18" customHeight="1">
      <c r="A193" s="15" t="s">
        <v>1993</v>
      </c>
      <c r="B193" s="15" t="s">
        <v>727</v>
      </c>
      <c r="C193" s="15" t="s">
        <v>776</v>
      </c>
      <c r="D193" s="16" t="s">
        <v>2268</v>
      </c>
      <c r="E193" s="16"/>
      <c r="F193" s="16" t="s">
        <v>777</v>
      </c>
      <c r="G193" s="15" t="s">
        <v>778</v>
      </c>
      <c r="H193" s="16" t="s">
        <v>476</v>
      </c>
      <c r="I193" s="16" t="s">
        <v>477</v>
      </c>
      <c r="J193" s="17">
        <v>3000000</v>
      </c>
      <c r="K193" s="18">
        <v>45810</v>
      </c>
      <c r="L193" s="18">
        <v>45992</v>
      </c>
      <c r="M193" s="16"/>
      <c r="N193" s="37" t="s">
        <v>1736</v>
      </c>
      <c r="O193" s="32" t="str">
        <f>IFERROR(VLOOKUP($G193,[1]DB2!$A:$B,2,0),"공동과책 확인")</f>
        <v>Kim, Hyo Gyeom</v>
      </c>
      <c r="P193" s="32" t="s">
        <v>1618</v>
      </c>
      <c r="Q193" s="32" t="s">
        <v>1797</v>
      </c>
      <c r="R193" s="32" t="str">
        <f>IFERROR(VLOOKUP($I193,[1]DB2!$F$2:$I$58,2,0),"옛날 부서명 확인")</f>
        <v xml:space="preserve">Environmental Resources Assessment Division </v>
      </c>
      <c r="S193" s="32" t="str">
        <f>IFERROR(VLOOKUP($I193,[1]DB2!$F$2:$I$58,4,0),"옛날 부서명 확인")</f>
        <v xml:space="preserve">Environmental Assessment Group </v>
      </c>
    </row>
    <row r="194" spans="1:19" ht="18" customHeight="1">
      <c r="A194" s="15" t="s">
        <v>1994</v>
      </c>
      <c r="B194" s="15" t="s">
        <v>727</v>
      </c>
      <c r="C194" s="15" t="s">
        <v>780</v>
      </c>
      <c r="D194" s="16" t="s">
        <v>781</v>
      </c>
      <c r="E194" s="16"/>
      <c r="F194" s="16" t="s">
        <v>56</v>
      </c>
      <c r="G194" s="15" t="s">
        <v>57</v>
      </c>
      <c r="H194" s="16" t="s">
        <v>408</v>
      </c>
      <c r="I194" s="16" t="s">
        <v>409</v>
      </c>
      <c r="J194" s="17">
        <v>3000000</v>
      </c>
      <c r="K194" s="18">
        <v>45810</v>
      </c>
      <c r="L194" s="18">
        <v>45992</v>
      </c>
      <c r="M194" s="16"/>
      <c r="N194" s="37" t="s">
        <v>2018</v>
      </c>
      <c r="O194" s="32" t="str">
        <f>IFERROR(VLOOKUP($G194,[1]DB2!$A:$B,2,0),"공동과책 확인")</f>
        <v>Choi, Yuyoung</v>
      </c>
      <c r="P194" s="32" t="s">
        <v>2257</v>
      </c>
      <c r="Q194" s="32" t="s">
        <v>1614</v>
      </c>
      <c r="R194" s="32" t="str">
        <f>IFERROR(VLOOKUP($I194,[1]DB2!$F$2:$I$58,2,0),"옛날 부서명 확인")</f>
        <v xml:space="preserve">Land Strategy Assessment Division </v>
      </c>
      <c r="S194" s="32" t="str">
        <f>IFERROR(VLOOKUP($I194,[1]DB2!$F$2:$I$58,4,0),"옛날 부서명 확인")</f>
        <v xml:space="preserve">Environmental Assessment Group </v>
      </c>
    </row>
    <row r="195" spans="1:19" ht="18" customHeight="1">
      <c r="A195" s="15" t="s">
        <v>1995</v>
      </c>
      <c r="B195" s="15" t="s">
        <v>21</v>
      </c>
      <c r="C195" s="15" t="s">
        <v>639</v>
      </c>
      <c r="D195" s="16" t="s">
        <v>640</v>
      </c>
      <c r="E195" s="16"/>
      <c r="F195" s="16" t="s">
        <v>641</v>
      </c>
      <c r="G195" s="15" t="s">
        <v>642</v>
      </c>
      <c r="H195" s="16" t="s">
        <v>198</v>
      </c>
      <c r="I195" s="16" t="s">
        <v>199</v>
      </c>
      <c r="J195" s="17">
        <v>98600000</v>
      </c>
      <c r="K195" s="18">
        <v>45820</v>
      </c>
      <c r="L195" s="18">
        <v>46184</v>
      </c>
      <c r="M195" s="16" t="s">
        <v>47</v>
      </c>
      <c r="N195" s="37" t="s">
        <v>1719</v>
      </c>
      <c r="O195" s="32" t="str">
        <f>IFERROR(VLOOKUP($G195,[1]DB2!$A:$B,2,0),"공동과책 확인")</f>
        <v>Hyun, Yunjung</v>
      </c>
      <c r="P195" s="32" t="s">
        <v>2256</v>
      </c>
      <c r="Q195" s="32" t="s">
        <v>1617</v>
      </c>
      <c r="R195" s="32" t="str">
        <f>IFERROR(VLOOKUP($I195,[1]DB2!$F$2:$I$58,2,0),"옛날 부서명 확인")</f>
        <v xml:space="preserve">Water Management Division </v>
      </c>
      <c r="S195" s="32" t="str">
        <f>IFERROR(VLOOKUP($I195,[1]DB2!$F$2:$I$58,4,0),"옛날 부서명 확인")</f>
        <v xml:space="preserve">Land and Environment Research Group </v>
      </c>
    </row>
    <row r="196" spans="1:19" ht="18" customHeight="1">
      <c r="A196" s="15" t="s">
        <v>1996</v>
      </c>
      <c r="B196" s="15" t="s">
        <v>21</v>
      </c>
      <c r="C196" s="15" t="s">
        <v>644</v>
      </c>
      <c r="D196" s="16" t="s">
        <v>645</v>
      </c>
      <c r="E196" s="16"/>
      <c r="F196" s="16" t="s">
        <v>509</v>
      </c>
      <c r="G196" s="15" t="s">
        <v>510</v>
      </c>
      <c r="H196" s="16" t="s">
        <v>32</v>
      </c>
      <c r="I196" s="16" t="s">
        <v>27</v>
      </c>
      <c r="J196" s="17">
        <v>80000000</v>
      </c>
      <c r="K196" s="18">
        <v>45821</v>
      </c>
      <c r="L196" s="18">
        <v>46064</v>
      </c>
      <c r="M196" s="16" t="s">
        <v>646</v>
      </c>
      <c r="N196" s="37" t="s">
        <v>1720</v>
      </c>
      <c r="O196" s="32" t="str">
        <f>IFERROR(VLOOKUP($G196,[1]DB2!$A:$B,2,0),"공동과책 확인")</f>
        <v>Lee, Who-Seung</v>
      </c>
      <c r="P196" s="32" t="s">
        <v>1614</v>
      </c>
      <c r="Q196" s="32" t="s">
        <v>1621</v>
      </c>
      <c r="R196" s="32" t="str">
        <f>IFERROR(VLOOKUP($I196,[1]DB2!$F$2:$I$58,2,0),"옛날 부서명 확인")</f>
        <v xml:space="preserve">Natural Environment Division </v>
      </c>
      <c r="S196" s="32" t="str">
        <f>IFERROR(VLOOKUP($I196,[1]DB2!$F$2:$I$58,4,0),"옛날 부서명 확인")</f>
        <v xml:space="preserve">Land and Environment Research Group </v>
      </c>
    </row>
    <row r="197" spans="1:19" ht="18" customHeight="1">
      <c r="A197" s="15" t="s">
        <v>1997</v>
      </c>
      <c r="B197" s="15" t="s">
        <v>21</v>
      </c>
      <c r="C197" s="15" t="s">
        <v>666</v>
      </c>
      <c r="D197" s="16" t="s">
        <v>2355</v>
      </c>
      <c r="E197" s="16"/>
      <c r="F197" s="16" t="s">
        <v>667</v>
      </c>
      <c r="G197" s="15" t="s">
        <v>668</v>
      </c>
      <c r="H197" s="16" t="s">
        <v>332</v>
      </c>
      <c r="I197" s="16" t="s">
        <v>333</v>
      </c>
      <c r="J197" s="17">
        <v>15000000</v>
      </c>
      <c r="K197" s="18">
        <v>45825</v>
      </c>
      <c r="L197" s="18">
        <v>45981</v>
      </c>
      <c r="M197" s="16" t="s">
        <v>669</v>
      </c>
      <c r="N197" s="37" t="s">
        <v>1726</v>
      </c>
      <c r="O197" s="32" t="str">
        <f>IFERROR(VLOOKUP($G197,[1]DB2!$A:$B,2,0),"공동과책 확인")</f>
        <v>Kang, Taek Goo</v>
      </c>
      <c r="P197" s="32" t="s">
        <v>2255</v>
      </c>
      <c r="Q197" s="32" t="s">
        <v>2258</v>
      </c>
      <c r="R197" s="32" t="str">
        <f>IFERROR(VLOOKUP($I197,[1]DB2!$F$2:$I$58,2,0),"옛날 부서명 확인")</f>
        <v xml:space="preserve">Green Economy Division </v>
      </c>
      <c r="S197" s="32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5" t="s">
        <v>1998</v>
      </c>
      <c r="B198" s="15" t="s">
        <v>21</v>
      </c>
      <c r="C198" s="15" t="s">
        <v>651</v>
      </c>
      <c r="D198" s="16" t="s">
        <v>652</v>
      </c>
      <c r="E198" s="16"/>
      <c r="F198" s="16" t="s">
        <v>273</v>
      </c>
      <c r="G198" s="15" t="s">
        <v>274</v>
      </c>
      <c r="H198" s="16" t="s">
        <v>198</v>
      </c>
      <c r="I198" s="16" t="s">
        <v>199</v>
      </c>
      <c r="J198" s="17">
        <v>91318180</v>
      </c>
      <c r="K198" s="18">
        <v>45831</v>
      </c>
      <c r="L198" s="18">
        <v>46071</v>
      </c>
      <c r="M198" s="16" t="s">
        <v>131</v>
      </c>
      <c r="N198" s="37" t="s">
        <v>1722</v>
      </c>
      <c r="O198" s="32" t="str">
        <f>IFERROR(VLOOKUP($G198,[1]DB2!$A:$B,2,0),"공동과책 확인")</f>
        <v>Jeon, Dongjin</v>
      </c>
      <c r="P198" s="32" t="s">
        <v>1617</v>
      </c>
      <c r="Q198" s="32"/>
      <c r="R198" s="32" t="str">
        <f>IFERROR(VLOOKUP($I198,[1]DB2!$F$2:$I$58,2,0),"옛날 부서명 확인")</f>
        <v xml:space="preserve">Water Management Division </v>
      </c>
      <c r="S198" s="32" t="str">
        <f>IFERROR(VLOOKUP($I198,[1]DB2!$F$2:$I$58,4,0),"옛날 부서명 확인")</f>
        <v xml:space="preserve">Land and Environment Research Group </v>
      </c>
    </row>
    <row r="199" spans="1:19" ht="18" customHeight="1">
      <c r="A199" s="15" t="s">
        <v>1999</v>
      </c>
      <c r="B199" s="29" t="s">
        <v>21</v>
      </c>
      <c r="C199" s="29" t="s">
        <v>654</v>
      </c>
      <c r="D199" s="26" t="s">
        <v>655</v>
      </c>
      <c r="E199" s="26"/>
      <c r="F199" s="26" t="s">
        <v>656</v>
      </c>
      <c r="G199" s="29" t="s">
        <v>657</v>
      </c>
      <c r="H199" s="26" t="s">
        <v>254</v>
      </c>
      <c r="I199" s="26" t="s">
        <v>255</v>
      </c>
      <c r="J199" s="30">
        <v>49500000</v>
      </c>
      <c r="K199" s="31">
        <v>45835</v>
      </c>
      <c r="L199" s="31">
        <v>46163</v>
      </c>
      <c r="M199" s="26" t="s">
        <v>658</v>
      </c>
      <c r="N199" s="37" t="s">
        <v>1723</v>
      </c>
      <c r="O199" s="32" t="str">
        <f>IFERROR(VLOOKUP($G199,[1]DB2!$A:$B,2,0),"공동과책 확인")</f>
        <v xml:space="preserve">Ju, Munsol </v>
      </c>
      <c r="P199" s="32" t="s">
        <v>1613</v>
      </c>
      <c r="Q199" s="32"/>
      <c r="R199" s="32" t="str">
        <f>IFERROR(VLOOKUP($I199,[1]DB2!$F$2:$I$58,2,0),"옛날 부서명 확인")</f>
        <v xml:space="preserve">Circular Economy Division </v>
      </c>
      <c r="S199" s="32" t="str">
        <f>IFERROR(VLOOKUP($I199,[1]DB2!$F$2:$I$58,4,0),"옛날 부서명 확인")</f>
        <v xml:space="preserve">Sustainable Development Research Group  </v>
      </c>
    </row>
    <row r="200" spans="1:19" ht="18" customHeight="1">
      <c r="A200" s="15" t="s">
        <v>2000</v>
      </c>
      <c r="B200" s="29" t="s">
        <v>21</v>
      </c>
      <c r="C200" s="29" t="s">
        <v>660</v>
      </c>
      <c r="D200" s="26" t="s">
        <v>661</v>
      </c>
      <c r="E200" s="26"/>
      <c r="F200" s="26" t="s">
        <v>129</v>
      </c>
      <c r="G200" s="29" t="s">
        <v>130</v>
      </c>
      <c r="H200" s="26" t="s">
        <v>198</v>
      </c>
      <c r="I200" s="26" t="s">
        <v>199</v>
      </c>
      <c r="J200" s="30">
        <v>49700000</v>
      </c>
      <c r="K200" s="31">
        <v>45835</v>
      </c>
      <c r="L200" s="31">
        <v>46053</v>
      </c>
      <c r="M200" s="26" t="s">
        <v>47</v>
      </c>
      <c r="N200" s="37" t="s">
        <v>1724</v>
      </c>
      <c r="O200" s="32" t="str">
        <f>IFERROR(VLOOKUP($G200,[1]DB2!$A:$B,2,0),"공동과책 확인")</f>
        <v>Han, Daeho</v>
      </c>
      <c r="P200" s="32" t="s">
        <v>1617</v>
      </c>
      <c r="Q200" s="32"/>
      <c r="R200" s="32" t="str">
        <f>IFERROR(VLOOKUP($I200,[1]DB2!$F$2:$I$58,2,0),"옛날 부서명 확인")</f>
        <v xml:space="preserve">Water Management Division </v>
      </c>
      <c r="S200" s="32" t="str">
        <f>IFERROR(VLOOKUP($I200,[1]DB2!$F$2:$I$58,4,0),"옛날 부서명 확인")</f>
        <v xml:space="preserve">Land and Environment Research Group </v>
      </c>
    </row>
    <row r="201" spans="1:19" ht="18" customHeight="1">
      <c r="A201" s="15" t="s">
        <v>2001</v>
      </c>
      <c r="B201" s="15" t="s">
        <v>21</v>
      </c>
      <c r="C201" s="15" t="s">
        <v>663</v>
      </c>
      <c r="D201" s="16" t="s">
        <v>664</v>
      </c>
      <c r="E201" s="16"/>
      <c r="F201" s="16" t="s">
        <v>44</v>
      </c>
      <c r="G201" s="15" t="s">
        <v>45</v>
      </c>
      <c r="H201" s="16" t="s">
        <v>208</v>
      </c>
      <c r="I201" s="16" t="s">
        <v>209</v>
      </c>
      <c r="J201" s="17">
        <v>67545450</v>
      </c>
      <c r="K201" s="18">
        <v>45838</v>
      </c>
      <c r="L201" s="18">
        <v>46148</v>
      </c>
      <c r="M201" s="16" t="s">
        <v>665</v>
      </c>
      <c r="N201" s="37" t="s">
        <v>1725</v>
      </c>
      <c r="O201" s="32" t="str">
        <f>IFERROR(VLOOKUP($G201,[1]DB2!$A:$B,2,0),"공동과책 확인")</f>
        <v>Son, Seungwoo</v>
      </c>
      <c r="P201" s="32" t="s">
        <v>1614</v>
      </c>
      <c r="Q201" s="32" t="s">
        <v>1622</v>
      </c>
      <c r="R201" s="32" t="str">
        <f>IFERROR(VLOOKUP($I201,[1]DB2!$F$2:$I$58,2,0),"옛날 부서명 확인")</f>
        <v>Spatial Planning and Management Division</v>
      </c>
      <c r="S201" s="32" t="str">
        <f>IFERROR(VLOOKUP($I201,[1]DB2!$F$2:$I$58,4,0),"옛날 부서명 확인")</f>
        <v xml:space="preserve">Land and Environment Research Group </v>
      </c>
    </row>
    <row r="202" spans="1:19" ht="18" customHeight="1">
      <c r="A202" s="15" t="s">
        <v>2002</v>
      </c>
      <c r="B202" s="15" t="s">
        <v>953</v>
      </c>
      <c r="C202" s="15" t="s">
        <v>963</v>
      </c>
      <c r="D202" s="16" t="s">
        <v>2269</v>
      </c>
      <c r="E202" s="16"/>
      <c r="F202" s="16" t="s">
        <v>552</v>
      </c>
      <c r="G202" s="15" t="s">
        <v>553</v>
      </c>
      <c r="H202" s="16" t="s">
        <v>198</v>
      </c>
      <c r="I202" s="16" t="s">
        <v>199</v>
      </c>
      <c r="J202" s="17">
        <v>15000000</v>
      </c>
      <c r="K202" s="18">
        <v>45839</v>
      </c>
      <c r="L202" s="18">
        <v>46022</v>
      </c>
      <c r="M202" s="16"/>
      <c r="N202" s="37" t="s">
        <v>1764</v>
      </c>
      <c r="O202" s="32" t="str">
        <f>IFERROR(VLOOKUP($G202,[1]DB2!$A:$B,2,0),"공동과책 확인")</f>
        <v xml:space="preserve">Oh, Myoungjin </v>
      </c>
      <c r="P202" s="32" t="s">
        <v>1617</v>
      </c>
      <c r="Q202" s="32" t="s">
        <v>1621</v>
      </c>
      <c r="R202" s="32" t="str">
        <f>IFERROR(VLOOKUP($I202,[1]DB2!$F$2:$I$58,2,0),"옛날 부서명 확인")</f>
        <v xml:space="preserve">Water Management Division </v>
      </c>
      <c r="S202" s="32" t="str">
        <f>IFERROR(VLOOKUP($I202,[1]DB2!$F$2:$I$58,4,0),"옛날 부서명 확인")</f>
        <v xml:space="preserve">Land and Environment Research Group </v>
      </c>
    </row>
    <row r="203" spans="1:19" ht="18" customHeight="1">
      <c r="A203" s="15" t="s">
        <v>2003</v>
      </c>
      <c r="B203" s="15" t="s">
        <v>953</v>
      </c>
      <c r="C203" s="15" t="s">
        <v>964</v>
      </c>
      <c r="D203" s="16" t="s">
        <v>2270</v>
      </c>
      <c r="E203" s="16"/>
      <c r="F203" s="16" t="s">
        <v>315</v>
      </c>
      <c r="G203" s="15" t="s">
        <v>316</v>
      </c>
      <c r="H203" s="16" t="s">
        <v>198</v>
      </c>
      <c r="I203" s="16" t="s">
        <v>199</v>
      </c>
      <c r="J203" s="17">
        <v>15000000</v>
      </c>
      <c r="K203" s="18">
        <v>45839</v>
      </c>
      <c r="L203" s="18">
        <v>46022</v>
      </c>
      <c r="M203" s="16"/>
      <c r="N203" s="37" t="s">
        <v>1765</v>
      </c>
      <c r="O203" s="32" t="str">
        <f>IFERROR(VLOOKUP($G203,[1]DB2!$A:$B,2,0),"공동과책 확인")</f>
        <v xml:space="preserve">Lee, Seungsoo </v>
      </c>
      <c r="P203" s="32" t="s">
        <v>1617</v>
      </c>
      <c r="Q203" s="32"/>
      <c r="R203" s="32" t="str">
        <f>IFERROR(VLOOKUP($I203,[1]DB2!$F$2:$I$58,2,0),"옛날 부서명 확인")</f>
        <v xml:space="preserve">Water Management Division </v>
      </c>
      <c r="S203" s="32" t="str">
        <f>IFERROR(VLOOKUP($I203,[1]DB2!$F$2:$I$58,4,0),"옛날 부서명 확인")</f>
        <v xml:space="preserve">Land and Environment Research Group </v>
      </c>
    </row>
    <row r="204" spans="1:19" ht="18" customHeight="1">
      <c r="A204" s="15" t="s">
        <v>2004</v>
      </c>
      <c r="B204" s="15" t="s">
        <v>953</v>
      </c>
      <c r="C204" s="15" t="s">
        <v>965</v>
      </c>
      <c r="D204" s="16" t="s">
        <v>2271</v>
      </c>
      <c r="E204" s="16"/>
      <c r="F204" s="16" t="s">
        <v>966</v>
      </c>
      <c r="G204" s="15" t="s">
        <v>967</v>
      </c>
      <c r="H204" s="16" t="s">
        <v>38</v>
      </c>
      <c r="I204" s="16" t="s">
        <v>39</v>
      </c>
      <c r="J204" s="17">
        <v>15000000</v>
      </c>
      <c r="K204" s="18">
        <v>45839</v>
      </c>
      <c r="L204" s="18">
        <v>46022</v>
      </c>
      <c r="M204" s="16"/>
      <c r="N204" s="37" t="s">
        <v>1766</v>
      </c>
      <c r="O204" s="32" t="str">
        <f>IFERROR(VLOOKUP($G204,[1]DB2!$A:$B,2,0),"공동과책 확인")</f>
        <v>Kim, Dokyun</v>
      </c>
      <c r="P204" s="32" t="s">
        <v>1622</v>
      </c>
      <c r="Q204" s="32" t="s">
        <v>2255</v>
      </c>
      <c r="R204" s="32" t="str">
        <f>IFERROR(VLOOKUP($I204,[1]DB2!$F$2:$I$58,2,0),"옛날 부서명 확인")</f>
        <v xml:space="preserve">Living Environment and Society Division </v>
      </c>
      <c r="S204" s="32" t="str">
        <f>IFERROR(VLOOKUP($I204,[1]DB2!$F$2:$I$58,4,0),"옛날 부서명 확인")</f>
        <v xml:space="preserve">Sustainable Development Research Group  </v>
      </c>
    </row>
    <row r="205" spans="1:19" ht="18" customHeight="1">
      <c r="A205" s="15" t="s">
        <v>2005</v>
      </c>
      <c r="B205" s="15" t="s">
        <v>21</v>
      </c>
      <c r="C205" s="15" t="s">
        <v>670</v>
      </c>
      <c r="D205" s="16" t="s">
        <v>2272</v>
      </c>
      <c r="E205" s="16"/>
      <c r="F205" s="16" t="s">
        <v>152</v>
      </c>
      <c r="G205" s="15" t="s">
        <v>153</v>
      </c>
      <c r="H205" s="16" t="s">
        <v>425</v>
      </c>
      <c r="I205" s="16" t="s">
        <v>124</v>
      </c>
      <c r="J205" s="17">
        <v>69000000</v>
      </c>
      <c r="K205" s="18">
        <v>45841</v>
      </c>
      <c r="L205" s="18">
        <v>46020</v>
      </c>
      <c r="M205" s="16" t="s">
        <v>499</v>
      </c>
      <c r="N205" s="37" t="s">
        <v>1727</v>
      </c>
      <c r="O205" s="32" t="str">
        <f>IFERROR(VLOOKUP($G205,[1]DB2!$A:$B,2,0),"공동과책 확인")</f>
        <v>Lee, Jeongeun</v>
      </c>
      <c r="P205" s="32" t="s">
        <v>2255</v>
      </c>
      <c r="Q205" s="32" t="s">
        <v>1621</v>
      </c>
      <c r="R205" s="32" t="str">
        <f>IFERROR(VLOOKUP($I205,[1]DB2!$F$2:$I$58,2,0),"옛날 부서명 확인")</f>
        <v xml:space="preserve">Carbon Neutrality Division </v>
      </c>
      <c r="S205" s="32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5" t="s">
        <v>2006</v>
      </c>
      <c r="B206" s="15" t="s">
        <v>21</v>
      </c>
      <c r="C206" s="15" t="s">
        <v>673</v>
      </c>
      <c r="D206" s="16" t="s">
        <v>2273</v>
      </c>
      <c r="E206" s="16"/>
      <c r="F206" s="16" t="s">
        <v>348</v>
      </c>
      <c r="G206" s="15" t="s">
        <v>349</v>
      </c>
      <c r="H206" s="16" t="s">
        <v>32</v>
      </c>
      <c r="I206" s="16" t="s">
        <v>27</v>
      </c>
      <c r="J206" s="17">
        <v>50000000</v>
      </c>
      <c r="K206" s="18">
        <v>45845</v>
      </c>
      <c r="L206" s="18">
        <v>46017</v>
      </c>
      <c r="M206" s="16" t="s">
        <v>674</v>
      </c>
      <c r="N206" s="37" t="s">
        <v>1728</v>
      </c>
      <c r="O206" s="32" t="str">
        <f>IFERROR(VLOOKUP($G206,[1]DB2!$A:$B,2,0),"공동과책 확인")</f>
        <v>Kim, Choong-ki</v>
      </c>
      <c r="P206" s="32" t="s">
        <v>1620</v>
      </c>
      <c r="Q206" s="32"/>
      <c r="R206" s="32" t="str">
        <f>IFERROR(VLOOKUP($I206,[1]DB2!$F$2:$I$58,2,0),"옛날 부서명 확인")</f>
        <v xml:space="preserve">Natural Environment Division </v>
      </c>
      <c r="S206" s="32" t="str">
        <f>IFERROR(VLOOKUP($I206,[1]DB2!$F$2:$I$58,4,0),"옛날 부서명 확인")</f>
        <v xml:space="preserve">Land and Environment Research Group </v>
      </c>
    </row>
    <row r="207" spans="1:19" ht="18" customHeight="1">
      <c r="A207" s="15" t="s">
        <v>2007</v>
      </c>
      <c r="B207" s="15" t="s">
        <v>21</v>
      </c>
      <c r="C207" s="15" t="s">
        <v>672</v>
      </c>
      <c r="D207" s="16" t="s">
        <v>2274</v>
      </c>
      <c r="E207" s="16"/>
      <c r="F207" s="16" t="s">
        <v>144</v>
      </c>
      <c r="G207" s="15" t="s">
        <v>145</v>
      </c>
      <c r="H207" s="16" t="s">
        <v>527</v>
      </c>
      <c r="I207" s="16" t="s">
        <v>528</v>
      </c>
      <c r="J207" s="17">
        <v>176557080</v>
      </c>
      <c r="K207" s="18">
        <v>45846</v>
      </c>
      <c r="L207" s="18">
        <v>46145</v>
      </c>
      <c r="M207" s="16" t="s">
        <v>148</v>
      </c>
      <c r="N207" s="37" t="s">
        <v>2322</v>
      </c>
      <c r="O207" s="32" t="str">
        <f>IFERROR(VLOOKUP($G207,[1]DB2!$A:$B,2,0),"공동과책 확인")</f>
        <v>Suh, Yang-won</v>
      </c>
      <c r="P207" s="32" t="s">
        <v>2157</v>
      </c>
      <c r="Q207" s="32" t="s">
        <v>2255</v>
      </c>
      <c r="R207" s="32" t="str">
        <f>IFERROR(VLOOKUP($I207,[1]DB2!$F$2:$I$58,2,0),"옛날 부서명 확인")</f>
        <v xml:space="preserve">Sustainable Development Research Group  </v>
      </c>
      <c r="S207" s="32" t="str">
        <f>IFERROR(VLOOKUP($I207,[1]DB2!$F$2:$I$58,4,0),"옛날 부서명 확인")</f>
        <v xml:space="preserve">Sustainable Development Research Group  </v>
      </c>
    </row>
    <row r="208" spans="1:19" ht="18" customHeight="1">
      <c r="A208" s="15" t="s">
        <v>2008</v>
      </c>
      <c r="B208" s="15" t="s">
        <v>21</v>
      </c>
      <c r="C208" s="15" t="s">
        <v>675</v>
      </c>
      <c r="D208" s="16" t="s">
        <v>2275</v>
      </c>
      <c r="E208" s="16"/>
      <c r="F208" s="16" t="s">
        <v>115</v>
      </c>
      <c r="G208" s="15" t="s">
        <v>116</v>
      </c>
      <c r="H208" s="16" t="s">
        <v>254</v>
      </c>
      <c r="I208" s="16" t="s">
        <v>255</v>
      </c>
      <c r="J208" s="17">
        <v>130990000</v>
      </c>
      <c r="K208" s="18">
        <v>45848</v>
      </c>
      <c r="L208" s="18">
        <v>46147</v>
      </c>
      <c r="M208" s="16" t="s">
        <v>117</v>
      </c>
      <c r="N208" s="37" t="s">
        <v>1729</v>
      </c>
      <c r="O208" s="32" t="str">
        <f>IFERROR(VLOOKUP($G208,[1]DB2!$A:$B,2,0),"공동과책 확인")</f>
        <v>Kim, Jongho</v>
      </c>
      <c r="P208" s="32" t="s">
        <v>1621</v>
      </c>
      <c r="Q208" s="32" t="s">
        <v>2257</v>
      </c>
      <c r="R208" s="32" t="str">
        <f>IFERROR(VLOOKUP($I208,[1]DB2!$F$2:$I$58,2,0),"옛날 부서명 확인")</f>
        <v xml:space="preserve">Circular Economy Division </v>
      </c>
      <c r="S208" s="32" t="str">
        <f>IFERROR(VLOOKUP($I208,[1]DB2!$F$2:$I$58,4,0),"옛날 부서명 확인")</f>
        <v xml:space="preserve">Sustainable Development Research Group  </v>
      </c>
    </row>
    <row r="209" spans="1:19" ht="18" customHeight="1">
      <c r="A209" s="15" t="s">
        <v>2009</v>
      </c>
      <c r="B209" s="15" t="s">
        <v>21</v>
      </c>
      <c r="C209" s="15" t="s">
        <v>676</v>
      </c>
      <c r="D209" s="16" t="s">
        <v>677</v>
      </c>
      <c r="E209" s="16"/>
      <c r="F209" s="16" t="s">
        <v>51</v>
      </c>
      <c r="G209" s="15" t="s">
        <v>52</v>
      </c>
      <c r="H209" s="16" t="s">
        <v>32</v>
      </c>
      <c r="I209" s="16" t="s">
        <v>27</v>
      </c>
      <c r="J209" s="17">
        <v>72000000</v>
      </c>
      <c r="K209" s="18">
        <v>45852</v>
      </c>
      <c r="L209" s="18">
        <v>46091</v>
      </c>
      <c r="M209" s="16" t="s">
        <v>168</v>
      </c>
      <c r="N209" s="38" t="s">
        <v>2356</v>
      </c>
      <c r="O209" s="32" t="str">
        <f>IFERROR(VLOOKUP($G209,[1]DB2!$A:$B,2,0),"공동과책 확인")</f>
        <v xml:space="preserve">Koo, Kyung Ah </v>
      </c>
      <c r="P209" s="32" t="s">
        <v>1614</v>
      </c>
      <c r="Q209" s="32" t="s">
        <v>2258</v>
      </c>
      <c r="R209" s="32" t="str">
        <f>IFERROR(VLOOKUP($I209,[1]DB2!$F$2:$I$58,2,0),"옛날 부서명 확인")</f>
        <v xml:space="preserve">Natural Environment Division </v>
      </c>
      <c r="S209" s="32" t="str">
        <f>IFERROR(VLOOKUP($I209,[1]DB2!$F$2:$I$58,4,0),"옛날 부서명 확인")</f>
        <v xml:space="preserve">Land and Environment Research Group </v>
      </c>
    </row>
    <row r="210" spans="1:19" ht="18" customHeight="1">
      <c r="A210" s="15" t="s">
        <v>2010</v>
      </c>
      <c r="B210" s="15" t="s">
        <v>21</v>
      </c>
      <c r="C210" s="15" t="s">
        <v>678</v>
      </c>
      <c r="D210" s="16" t="s">
        <v>2276</v>
      </c>
      <c r="E210" s="16"/>
      <c r="F210" s="16" t="s">
        <v>225</v>
      </c>
      <c r="G210" s="15" t="s">
        <v>226</v>
      </c>
      <c r="H210" s="16" t="s">
        <v>243</v>
      </c>
      <c r="I210" s="16" t="s">
        <v>147</v>
      </c>
      <c r="J210" s="17">
        <v>49500000</v>
      </c>
      <c r="K210" s="18">
        <v>45856</v>
      </c>
      <c r="L210" s="18">
        <v>46125</v>
      </c>
      <c r="M210" s="16" t="s">
        <v>47</v>
      </c>
      <c r="N210" s="37" t="s">
        <v>2357</v>
      </c>
      <c r="O210" s="32" t="str">
        <f>IFERROR(VLOOKUP($G210,[1]DB2!$A:$B,2,0),"공동과책 확인")</f>
        <v xml:space="preserve">Jung, Dawoon </v>
      </c>
      <c r="P210" s="32" t="s">
        <v>1615</v>
      </c>
      <c r="Q210" s="32"/>
      <c r="R210" s="32" t="str">
        <f>IFERROR(VLOOKUP($I210,[1]DB2!$F$2:$I$58,2,0),"옛날 부서명 확인")</f>
        <v xml:space="preserve">Environmental Health Division </v>
      </c>
      <c r="S210" s="32" t="str">
        <f>IFERROR(VLOOKUP($I210,[1]DB2!$F$2:$I$58,4,0),"옛날 부서명 확인")</f>
        <v xml:space="preserve">Sustainable Development Research Group  </v>
      </c>
    </row>
    <row r="211" spans="1:19" ht="18" customHeight="1">
      <c r="A211" s="15" t="s">
        <v>2011</v>
      </c>
      <c r="B211" s="15" t="s">
        <v>21</v>
      </c>
      <c r="C211" s="15" t="s">
        <v>679</v>
      </c>
      <c r="D211" s="16" t="s">
        <v>2277</v>
      </c>
      <c r="E211" s="16"/>
      <c r="F211" s="16" t="s">
        <v>188</v>
      </c>
      <c r="G211" s="15" t="s">
        <v>189</v>
      </c>
      <c r="H211" s="16" t="s">
        <v>343</v>
      </c>
      <c r="I211" s="16" t="s">
        <v>191</v>
      </c>
      <c r="J211" s="17">
        <v>58800000</v>
      </c>
      <c r="K211" s="18">
        <v>45863</v>
      </c>
      <c r="L211" s="18">
        <v>46105</v>
      </c>
      <c r="M211" s="16" t="s">
        <v>680</v>
      </c>
      <c r="N211" s="37" t="s">
        <v>1730</v>
      </c>
      <c r="O211" s="32" t="str">
        <f>IFERROR(VLOOKUP($G211,[1]DB2!$A:$B,2,0),"공동과책 확인")</f>
        <v>Gong, Sungyong</v>
      </c>
      <c r="P211" s="32" t="s">
        <v>1799</v>
      </c>
      <c r="Q211" s="32" t="s">
        <v>1615</v>
      </c>
      <c r="R211" s="32" t="str">
        <f>IFERROR(VLOOKUP($I211,[1]DB2!$F$2:$I$58,2,0),"옛날 부서명 확인")</f>
        <v>Atmospheric Environment Division</v>
      </c>
      <c r="S211" s="32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5" t="s">
        <v>2012</v>
      </c>
      <c r="B212" s="20" t="s">
        <v>21</v>
      </c>
      <c r="C212" s="20" t="s">
        <v>682</v>
      </c>
      <c r="D212" s="39" t="s">
        <v>2278</v>
      </c>
      <c r="E212" s="16"/>
      <c r="F212" s="16" t="s">
        <v>683</v>
      </c>
      <c r="G212" s="20" t="s">
        <v>684</v>
      </c>
      <c r="H212" s="16" t="s">
        <v>32</v>
      </c>
      <c r="I212" s="21" t="s">
        <v>27</v>
      </c>
      <c r="J212" s="22">
        <v>87272720</v>
      </c>
      <c r="K212" s="23">
        <v>45873</v>
      </c>
      <c r="L212" s="23">
        <v>46172</v>
      </c>
      <c r="M212" s="16" t="s">
        <v>168</v>
      </c>
      <c r="N212" s="40" t="s">
        <v>1731</v>
      </c>
      <c r="O212" s="32" t="str">
        <f>IFERROR(VLOOKUP($G212,[1]DB2!$A:$B,2,0),"공동과책 확인")</f>
        <v>Kim, Yoonjung</v>
      </c>
      <c r="P212" s="32" t="s">
        <v>1619</v>
      </c>
      <c r="Q212" s="32"/>
      <c r="R212" s="32" t="str">
        <f>IFERROR(VLOOKUP($I212,[1]DB2!$F$2:$I$58,2,0),"옛날 부서명 확인")</f>
        <v xml:space="preserve">Natural Environment Division </v>
      </c>
      <c r="S212" s="32" t="str">
        <f>IFERROR(VLOOKUP($I212,[1]DB2!$F$2:$I$58,4,0),"옛날 부서명 확인")</f>
        <v xml:space="preserve">Land and Environment Research Group </v>
      </c>
    </row>
    <row r="213" spans="1:19" ht="18" customHeight="1">
      <c r="A213" s="15" t="s">
        <v>796</v>
      </c>
      <c r="B213" s="20" t="s">
        <v>21</v>
      </c>
      <c r="C213" s="20" t="s">
        <v>687</v>
      </c>
      <c r="D213" s="39" t="s">
        <v>1769</v>
      </c>
      <c r="E213" s="16"/>
      <c r="F213" s="16" t="s">
        <v>206</v>
      </c>
      <c r="G213" s="20" t="s">
        <v>321</v>
      </c>
      <c r="H213" s="16" t="s">
        <v>208</v>
      </c>
      <c r="I213" s="21" t="s">
        <v>209</v>
      </c>
      <c r="J213" s="22">
        <v>89090900</v>
      </c>
      <c r="K213" s="23">
        <v>45876</v>
      </c>
      <c r="L213" s="23">
        <v>46176</v>
      </c>
      <c r="M213" s="16" t="s">
        <v>688</v>
      </c>
      <c r="N213" s="40" t="s">
        <v>1770</v>
      </c>
      <c r="O213" s="32" t="str">
        <f>IFERROR(VLOOKUP($G213,[1]DB2!$A:$B,2,0),"공동과책 확인")</f>
        <v>Yoon, Jeongho</v>
      </c>
      <c r="P213" s="32" t="s">
        <v>2256</v>
      </c>
      <c r="Q213" s="32" t="s">
        <v>1796</v>
      </c>
      <c r="R213" s="32" t="str">
        <f>IFERROR(VLOOKUP($I213,[1]DB2!$F$2:$I$58,2,0),"옛날 부서명 확인")</f>
        <v>Spatial Planning and Management Division</v>
      </c>
      <c r="S213" s="32" t="str">
        <f>IFERROR(VLOOKUP($I213,[1]DB2!$F$2:$I$58,4,0),"옛날 부서명 확인")</f>
        <v xml:space="preserve">Land and Environment Research Group </v>
      </c>
    </row>
    <row r="214" spans="1:19" ht="18" customHeight="1">
      <c r="A214" s="15" t="s">
        <v>802</v>
      </c>
      <c r="B214" s="20" t="s">
        <v>21</v>
      </c>
      <c r="C214" s="20" t="s">
        <v>685</v>
      </c>
      <c r="D214" s="39" t="s">
        <v>2279</v>
      </c>
      <c r="E214" s="16"/>
      <c r="F214" s="16" t="s">
        <v>641</v>
      </c>
      <c r="G214" s="20" t="s">
        <v>642</v>
      </c>
      <c r="H214" s="16" t="s">
        <v>198</v>
      </c>
      <c r="I214" s="21" t="s">
        <v>199</v>
      </c>
      <c r="J214" s="22">
        <v>135400000</v>
      </c>
      <c r="K214" s="23">
        <v>45877</v>
      </c>
      <c r="L214" s="23">
        <v>46241</v>
      </c>
      <c r="M214" s="16" t="s">
        <v>686</v>
      </c>
      <c r="N214" s="40" t="s">
        <v>1732</v>
      </c>
      <c r="O214" s="32" t="str">
        <f>IFERROR(VLOOKUP($G214,[1]DB2!$A:$B,2,0),"공동과책 확인")</f>
        <v>Hyun, Yunjung</v>
      </c>
      <c r="P214" s="32" t="s">
        <v>1617</v>
      </c>
      <c r="Q214" s="32"/>
      <c r="R214" s="32" t="str">
        <f>IFERROR(VLOOKUP($I214,[1]DB2!$F$2:$I$58,2,0),"옛날 부서명 확인")</f>
        <v xml:space="preserve">Water Management Division </v>
      </c>
      <c r="S214" s="32" t="str">
        <f>IFERROR(VLOOKUP($I214,[1]DB2!$F$2:$I$58,4,0),"옛날 부서명 확인")</f>
        <v xml:space="preserve">Land and Environment Research Group </v>
      </c>
    </row>
    <row r="215" spans="1:19" ht="18" customHeight="1">
      <c r="A215" s="15" t="s">
        <v>805</v>
      </c>
      <c r="B215" s="29" t="s">
        <v>21</v>
      </c>
      <c r="C215" s="29" t="s">
        <v>691</v>
      </c>
      <c r="D215" s="26" t="s">
        <v>2280</v>
      </c>
      <c r="E215" s="26"/>
      <c r="F215" s="26" t="s">
        <v>509</v>
      </c>
      <c r="G215" s="29" t="s">
        <v>510</v>
      </c>
      <c r="H215" s="26" t="s">
        <v>32</v>
      </c>
      <c r="I215" s="26" t="s">
        <v>27</v>
      </c>
      <c r="J215" s="30">
        <v>76440000</v>
      </c>
      <c r="K215" s="31">
        <v>45890</v>
      </c>
      <c r="L215" s="31">
        <v>46142</v>
      </c>
      <c r="M215" s="26" t="s">
        <v>692</v>
      </c>
      <c r="N215" s="40" t="s">
        <v>1772</v>
      </c>
      <c r="O215" s="32" t="str">
        <f>IFERROR(VLOOKUP($G215,[1]DB2!$A:$B,2,0),"공동과책 확인")</f>
        <v>Lee, Who-Seung</v>
      </c>
      <c r="P215" s="32" t="s">
        <v>1797</v>
      </c>
      <c r="Q215" s="32" t="s">
        <v>2259</v>
      </c>
      <c r="R215" s="32" t="str">
        <f>IFERROR(VLOOKUP($I215,[1]DB2!$F$2:$I$58,2,0),"옛날 부서명 확인")</f>
        <v xml:space="preserve">Natural Environment Division </v>
      </c>
      <c r="S215" s="32" t="str">
        <f>IFERROR(VLOOKUP($I215,[1]DB2!$F$2:$I$58,4,0),"옛날 부서명 확인")</f>
        <v xml:space="preserve">Land and Environment Research Group </v>
      </c>
    </row>
    <row r="216" spans="1:19" ht="18" customHeight="1">
      <c r="A216" s="15" t="s">
        <v>808</v>
      </c>
      <c r="B216" s="20" t="s">
        <v>21</v>
      </c>
      <c r="C216" s="20" t="s">
        <v>694</v>
      </c>
      <c r="D216" s="39" t="s">
        <v>1773</v>
      </c>
      <c r="E216" s="16"/>
      <c r="F216" s="16" t="s">
        <v>695</v>
      </c>
      <c r="G216" s="20" t="s">
        <v>696</v>
      </c>
      <c r="H216" s="16" t="s">
        <v>394</v>
      </c>
      <c r="I216" s="21" t="s">
        <v>395</v>
      </c>
      <c r="J216" s="22">
        <v>280615630</v>
      </c>
      <c r="K216" s="23">
        <v>45898</v>
      </c>
      <c r="L216" s="23">
        <v>46262</v>
      </c>
      <c r="M216" s="16" t="s">
        <v>292</v>
      </c>
      <c r="N216" s="40" t="s">
        <v>1774</v>
      </c>
      <c r="O216" s="32" t="str">
        <f>IFERROR(VLOOKUP($G216,[1]DB2!$A:$B,2,0),"공동과책 확인")</f>
        <v>Kim, Yumi</v>
      </c>
      <c r="P216" s="32" t="s">
        <v>1796</v>
      </c>
      <c r="Q216" s="32" t="s">
        <v>1798</v>
      </c>
      <c r="R216" s="32" t="str">
        <f>IFERROR(VLOOKUP($I216,[1]DB2!$F$2:$I$58,2,0),"옛날 부서명 확인")</f>
        <v xml:space="preserve">Climate and Energy Assessment Division </v>
      </c>
      <c r="S216" s="32" t="str">
        <f>IFERROR(VLOOKUP($I216,[1]DB2!$F$2:$I$58,4,0),"옛날 부서명 확인")</f>
        <v xml:space="preserve">Environmental Assessment Group </v>
      </c>
    </row>
    <row r="217" spans="1:19" ht="18" customHeight="1">
      <c r="A217" s="15" t="s">
        <v>811</v>
      </c>
      <c r="B217" s="20" t="s">
        <v>21</v>
      </c>
      <c r="C217" s="20" t="s">
        <v>698</v>
      </c>
      <c r="D217" s="39" t="s">
        <v>1775</v>
      </c>
      <c r="E217" s="16"/>
      <c r="F217" s="16" t="s">
        <v>325</v>
      </c>
      <c r="G217" s="20" t="s">
        <v>326</v>
      </c>
      <c r="H217" s="16" t="s">
        <v>327</v>
      </c>
      <c r="I217" s="21" t="s">
        <v>328</v>
      </c>
      <c r="J217" s="22">
        <v>209625000</v>
      </c>
      <c r="K217" s="23">
        <v>45901</v>
      </c>
      <c r="L217" s="23">
        <v>46476</v>
      </c>
      <c r="M217" s="16" t="s">
        <v>699</v>
      </c>
      <c r="N217" s="40" t="s">
        <v>1775</v>
      </c>
      <c r="O217" s="32" t="str">
        <f>IFERROR(VLOOKUP($G217,[1]DB2!$A:$B,2,0),"공동과책 확인")</f>
        <v>Chang, Hoon</v>
      </c>
      <c r="P217" s="32" t="s">
        <v>1798</v>
      </c>
      <c r="Q217" s="32" t="s">
        <v>2281</v>
      </c>
      <c r="R217" s="32" t="str">
        <f>IFERROR(VLOOKUP($I217,[1]DB2!$F$2:$I$58,2,0),"옛날 부서명 확인")</f>
        <v xml:space="preserve">Climate and Atmospheric Strategy Research Group  </v>
      </c>
      <c r="S217" s="32" t="str">
        <f>IFERROR(VLOOKUP($I217,[1]DB2!$F$2:$I$58,4,0),"옛날 부서명 확인")</f>
        <v xml:space="preserve">Climate and Atmospheric Strategy Research Group  </v>
      </c>
    </row>
    <row r="218" spans="1:19" s="24" customFormat="1" ht="18" customHeight="1">
      <c r="A218" s="15" t="s">
        <v>816</v>
      </c>
      <c r="B218" s="29" t="s">
        <v>727</v>
      </c>
      <c r="C218" s="29" t="s">
        <v>784</v>
      </c>
      <c r="D218" s="26" t="s">
        <v>2282</v>
      </c>
      <c r="E218" s="26"/>
      <c r="F218" s="26" t="s">
        <v>785</v>
      </c>
      <c r="G218" s="29" t="s">
        <v>786</v>
      </c>
      <c r="H218" s="26" t="s">
        <v>425</v>
      </c>
      <c r="I218" s="26" t="s">
        <v>2019</v>
      </c>
      <c r="J218" s="30">
        <v>3000000</v>
      </c>
      <c r="K218" s="31">
        <v>45901</v>
      </c>
      <c r="L218" s="31">
        <v>46081</v>
      </c>
      <c r="M218" s="26"/>
      <c r="N218" s="40" t="s">
        <v>2358</v>
      </c>
      <c r="O218" s="32" t="str">
        <f>IFERROR(VLOOKUP($G218,[1]DB2!$A:$B,2,0),"공동과책 확인")</f>
        <v>Jung, Sungwoon</v>
      </c>
      <c r="P218" s="32" t="s">
        <v>2258</v>
      </c>
      <c r="Q218" s="32"/>
      <c r="R218" s="32" t="str">
        <f>IFERROR(VLOOKUP($I218,[1]DB2!$F$2:$I$58,2,0),"옛날 부서명 확인")</f>
        <v xml:space="preserve">Carbon Neutrality Division </v>
      </c>
      <c r="S218" s="32" t="str">
        <f>IFERROR(VLOOKUP($I218,[1]DB2!$F$2:$I$58,4,0),"옛날 부서명 확인")</f>
        <v xml:space="preserve">Climate and Atmospheric Strategy Research Group  </v>
      </c>
    </row>
    <row r="219" spans="1:19" s="24" customFormat="1" ht="18" customHeight="1">
      <c r="A219" s="15" t="s">
        <v>820</v>
      </c>
      <c r="B219" s="20" t="s">
        <v>727</v>
      </c>
      <c r="C219" s="20" t="s">
        <v>790</v>
      </c>
      <c r="D219" s="39" t="s">
        <v>1789</v>
      </c>
      <c r="E219" s="16"/>
      <c r="F219" s="16" t="s">
        <v>791</v>
      </c>
      <c r="G219" s="20" t="s">
        <v>792</v>
      </c>
      <c r="H219" s="16" t="s">
        <v>198</v>
      </c>
      <c r="I219" s="21" t="s">
        <v>199</v>
      </c>
      <c r="J219" s="22">
        <v>3000000</v>
      </c>
      <c r="K219" s="23">
        <v>45901</v>
      </c>
      <c r="L219" s="23">
        <v>46081</v>
      </c>
      <c r="M219" s="16"/>
      <c r="N219" s="40" t="s">
        <v>2359</v>
      </c>
      <c r="O219" s="32" t="str">
        <f>IFERROR(VLOOKUP($G219,[1]DB2!$A:$B,2,0),"공동과책 확인")</f>
        <v xml:space="preserve">Sung, Kyungmin </v>
      </c>
      <c r="P219" s="32" t="s">
        <v>1798</v>
      </c>
      <c r="Q219" s="32" t="s">
        <v>1801</v>
      </c>
      <c r="R219" s="32" t="str">
        <f>IFERROR(VLOOKUP($I219,[1]DB2!$F$2:$I$58,2,0),"옛날 부서명 확인")</f>
        <v xml:space="preserve">Water Management Division </v>
      </c>
      <c r="S219" s="32" t="str">
        <f>IFERROR(VLOOKUP($I219,[1]DB2!$F$2:$I$58,4,0),"옛날 부서명 확인")</f>
        <v xml:space="preserve">Land and Environment Research Group </v>
      </c>
    </row>
    <row r="220" spans="1:19" s="24" customFormat="1" ht="18" customHeight="1">
      <c r="A220" s="15" t="s">
        <v>827</v>
      </c>
      <c r="B220" s="20" t="s">
        <v>953</v>
      </c>
      <c r="C220" s="20" t="s">
        <v>968</v>
      </c>
      <c r="D220" s="39" t="s">
        <v>1790</v>
      </c>
      <c r="E220" s="16"/>
      <c r="F220" s="16" t="s">
        <v>969</v>
      </c>
      <c r="G220" s="20" t="s">
        <v>970</v>
      </c>
      <c r="H220" s="16" t="s">
        <v>208</v>
      </c>
      <c r="I220" s="21" t="s">
        <v>209</v>
      </c>
      <c r="J220" s="22">
        <v>15000000</v>
      </c>
      <c r="K220" s="23">
        <v>45901</v>
      </c>
      <c r="L220" s="23">
        <v>46081</v>
      </c>
      <c r="M220" s="16"/>
      <c r="N220" s="40" t="s">
        <v>1791</v>
      </c>
      <c r="O220" s="32" t="str">
        <f>IFERROR(VLOOKUP($G220,[1]DB2!$A:$B,2,0),"공동과책 확인")</f>
        <v>Lee, Ji-Young</v>
      </c>
      <c r="P220" s="32" t="s">
        <v>2256</v>
      </c>
      <c r="Q220" s="32" t="s">
        <v>1797</v>
      </c>
      <c r="R220" s="32" t="str">
        <f>IFERROR(VLOOKUP($I220,[1]DB2!$F$2:$I$58,2,0),"옛날 부서명 확인")</f>
        <v>Spatial Planning and Management Division</v>
      </c>
      <c r="S220" s="32" t="str">
        <f>IFERROR(VLOOKUP($I220,[1]DB2!$F$2:$I$58,4,0),"옛날 부서명 확인")</f>
        <v xml:space="preserve">Land and Environment Research Group </v>
      </c>
    </row>
    <row r="221" spans="1:19" s="24" customFormat="1" ht="18" customHeight="1">
      <c r="A221" s="15" t="s">
        <v>832</v>
      </c>
      <c r="B221" s="20" t="s">
        <v>953</v>
      </c>
      <c r="C221" s="20" t="s">
        <v>971</v>
      </c>
      <c r="D221" s="39" t="s">
        <v>1792</v>
      </c>
      <c r="E221" s="16"/>
      <c r="F221" s="16" t="s">
        <v>236</v>
      </c>
      <c r="G221" s="20" t="s">
        <v>972</v>
      </c>
      <c r="H221" s="16" t="s">
        <v>208</v>
      </c>
      <c r="I221" s="21" t="s">
        <v>209</v>
      </c>
      <c r="J221" s="22">
        <v>15000000</v>
      </c>
      <c r="K221" s="23">
        <v>45901</v>
      </c>
      <c r="L221" s="23">
        <v>46081</v>
      </c>
      <c r="M221" s="16"/>
      <c r="N221" s="40" t="s">
        <v>2152</v>
      </c>
      <c r="O221" s="32" t="s">
        <v>2264</v>
      </c>
      <c r="P221" s="32" t="s">
        <v>2257</v>
      </c>
      <c r="Q221" s="32" t="s">
        <v>2256</v>
      </c>
      <c r="R221" s="32" t="str">
        <f>IFERROR(VLOOKUP($I221,[1]DB2!$F$2:$I$58,2,0),"옛날 부서명 확인")</f>
        <v>Spatial Planning and Management Division</v>
      </c>
      <c r="S221" s="32" t="str">
        <f>IFERROR(VLOOKUP($I221,[1]DB2!$F$2:$I$58,4,0),"옛날 부서명 확인")</f>
        <v xml:space="preserve">Land and Environment Research Group </v>
      </c>
    </row>
    <row r="222" spans="1:19" s="24" customFormat="1" ht="18" customHeight="1">
      <c r="A222" s="15" t="s">
        <v>833</v>
      </c>
      <c r="B222" s="20" t="s">
        <v>953</v>
      </c>
      <c r="C222" s="20" t="s">
        <v>973</v>
      </c>
      <c r="D222" s="39" t="s">
        <v>1793</v>
      </c>
      <c r="E222" s="16"/>
      <c r="F222" s="16" t="s">
        <v>714</v>
      </c>
      <c r="G222" s="20" t="s">
        <v>715</v>
      </c>
      <c r="H222" s="16" t="s">
        <v>425</v>
      </c>
      <c r="I222" s="21" t="s">
        <v>124</v>
      </c>
      <c r="J222" s="22">
        <v>15000000</v>
      </c>
      <c r="K222" s="23">
        <v>45901</v>
      </c>
      <c r="L222" s="23">
        <v>46081</v>
      </c>
      <c r="M222" s="16"/>
      <c r="N222" s="40" t="s">
        <v>1795</v>
      </c>
      <c r="O222" s="32" t="str">
        <f>IFERROR(VLOOKUP($G222,[1]DB2!$A:$B,2,0),"공동과책 확인")</f>
        <v>Shin, Dong Won</v>
      </c>
      <c r="P222" s="32" t="s">
        <v>2255</v>
      </c>
      <c r="Q222" s="32" t="s">
        <v>2258</v>
      </c>
      <c r="R222" s="32" t="str">
        <f>IFERROR(VLOOKUP($I222,[1]DB2!$F$2:$I$58,2,0),"옛날 부서명 확인")</f>
        <v xml:space="preserve">Carbon Neutrality Division </v>
      </c>
      <c r="S222" s="32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5" t="s">
        <v>834</v>
      </c>
      <c r="B223" s="20" t="s">
        <v>21</v>
      </c>
      <c r="C223" s="20" t="s">
        <v>701</v>
      </c>
      <c r="D223" s="39" t="s">
        <v>1776</v>
      </c>
      <c r="E223" s="16"/>
      <c r="F223" s="16" t="s">
        <v>121</v>
      </c>
      <c r="G223" s="20" t="s">
        <v>122</v>
      </c>
      <c r="H223" s="16" t="s">
        <v>425</v>
      </c>
      <c r="I223" s="21" t="s">
        <v>124</v>
      </c>
      <c r="J223" s="22">
        <v>136360000</v>
      </c>
      <c r="K223" s="23">
        <v>45924</v>
      </c>
      <c r="L223" s="23">
        <v>46288</v>
      </c>
      <c r="M223" s="16" t="s">
        <v>499</v>
      </c>
      <c r="N223" s="40" t="s">
        <v>1777</v>
      </c>
      <c r="O223" s="32" t="str">
        <f>IFERROR(VLOOKUP($G223,[1]DB2!$A:$B,2,0),"공동과책 확인")</f>
        <v>Kim, Sungjin</v>
      </c>
      <c r="P223" s="32" t="s">
        <v>2255</v>
      </c>
      <c r="Q223" s="32" t="s">
        <v>2258</v>
      </c>
      <c r="R223" s="32" t="str">
        <f>IFERROR(VLOOKUP($I223,[1]DB2!$F$2:$I$58,2,0),"옛날 부서명 확인")</f>
        <v xml:space="preserve">Carbon Neutrality Division </v>
      </c>
      <c r="S223" s="32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5" t="s">
        <v>835</v>
      </c>
      <c r="B224" s="20" t="s">
        <v>21</v>
      </c>
      <c r="C224" s="20" t="s">
        <v>703</v>
      </c>
      <c r="D224" s="39" t="s">
        <v>1778</v>
      </c>
      <c r="E224" s="16"/>
      <c r="F224" s="16" t="s">
        <v>152</v>
      </c>
      <c r="G224" s="20" t="s">
        <v>153</v>
      </c>
      <c r="H224" s="16" t="s">
        <v>425</v>
      </c>
      <c r="I224" s="21" t="s">
        <v>124</v>
      </c>
      <c r="J224" s="22">
        <v>50000000</v>
      </c>
      <c r="K224" s="23">
        <v>45924</v>
      </c>
      <c r="L224" s="23">
        <v>46133</v>
      </c>
      <c r="M224" s="16" t="s">
        <v>154</v>
      </c>
      <c r="N224" s="40" t="s">
        <v>1779</v>
      </c>
      <c r="O224" s="32" t="str">
        <f>IFERROR(VLOOKUP($G224,[1]DB2!$A:$B,2,0),"공동과책 확인")</f>
        <v>Lee, Jeongeun</v>
      </c>
      <c r="P224" s="32" t="s">
        <v>2255</v>
      </c>
      <c r="Q224" s="32" t="s">
        <v>1800</v>
      </c>
      <c r="R224" s="32" t="str">
        <f>IFERROR(VLOOKUP($I224,[1]DB2!$F$2:$I$58,2,0),"옛날 부서명 확인")</f>
        <v xml:space="preserve">Carbon Neutrality Division </v>
      </c>
      <c r="S224" s="32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5" t="s">
        <v>837</v>
      </c>
      <c r="B225" s="20" t="s">
        <v>21</v>
      </c>
      <c r="C225" s="20" t="s">
        <v>705</v>
      </c>
      <c r="D225" s="39" t="s">
        <v>1780</v>
      </c>
      <c r="E225" s="16"/>
      <c r="F225" s="16" t="s">
        <v>51</v>
      </c>
      <c r="G225" s="20" t="s">
        <v>52</v>
      </c>
      <c r="H225" s="16" t="s">
        <v>32</v>
      </c>
      <c r="I225" s="21" t="s">
        <v>27</v>
      </c>
      <c r="J225" s="22">
        <v>214500000</v>
      </c>
      <c r="K225" s="23">
        <v>45925</v>
      </c>
      <c r="L225" s="23">
        <v>46289</v>
      </c>
      <c r="M225" s="16" t="s">
        <v>706</v>
      </c>
      <c r="N225" s="44" t="s">
        <v>2360</v>
      </c>
      <c r="O225" s="32" t="str">
        <f>IFERROR(VLOOKUP($G225,[1]DB2!$A:$B,2,0),"공동과책 확인")</f>
        <v xml:space="preserve">Koo, Kyung Ah </v>
      </c>
      <c r="P225" s="32" t="s">
        <v>1797</v>
      </c>
      <c r="Q225" s="32" t="s">
        <v>1800</v>
      </c>
      <c r="R225" s="32" t="str">
        <f>IFERROR(VLOOKUP($I225,[1]DB2!$F$2:$I$58,2,0),"옛날 부서명 확인")</f>
        <v xml:space="preserve">Natural Environment Division </v>
      </c>
      <c r="S225" s="32" t="str">
        <f>IFERROR(VLOOKUP($I225,[1]DB2!$F$2:$I$58,4,0),"옛날 부서명 확인")</f>
        <v xml:space="preserve">Land and Environment Research Group </v>
      </c>
    </row>
    <row r="226" spans="1:19" ht="18" customHeight="1">
      <c r="A226" s="15" t="s">
        <v>838</v>
      </c>
      <c r="B226" s="20" t="s">
        <v>21</v>
      </c>
      <c r="C226" s="20" t="s">
        <v>708</v>
      </c>
      <c r="D226" s="39" t="s">
        <v>1781</v>
      </c>
      <c r="E226" s="16"/>
      <c r="F226" s="16" t="s">
        <v>509</v>
      </c>
      <c r="G226" s="20" t="s">
        <v>510</v>
      </c>
      <c r="H226" s="16" t="s">
        <v>32</v>
      </c>
      <c r="I226" s="21" t="s">
        <v>27</v>
      </c>
      <c r="J226" s="22">
        <v>62200000</v>
      </c>
      <c r="K226" s="23">
        <v>45925</v>
      </c>
      <c r="L226" s="23">
        <v>46104</v>
      </c>
      <c r="M226" s="16" t="s">
        <v>709</v>
      </c>
      <c r="N226" s="40" t="s">
        <v>2361</v>
      </c>
      <c r="O226" s="32" t="str">
        <f>IFERROR(VLOOKUP($G226,[1]DB2!$A:$B,2,0),"공동과책 확인")</f>
        <v>Lee, Who-Seung</v>
      </c>
      <c r="P226" s="32" t="s">
        <v>1797</v>
      </c>
      <c r="Q226" s="32" t="s">
        <v>2258</v>
      </c>
      <c r="R226" s="32" t="str">
        <f>IFERROR(VLOOKUP($I226,[1]DB2!$F$2:$I$58,2,0),"옛날 부서명 확인")</f>
        <v xml:space="preserve">Natural Environment Division </v>
      </c>
      <c r="S226" s="32" t="str">
        <f>IFERROR(VLOOKUP($I226,[1]DB2!$F$2:$I$58,4,0),"옛날 부서명 확인")</f>
        <v xml:space="preserve">Land and Environment Research Group </v>
      </c>
    </row>
    <row r="227" spans="1:19" ht="18" customHeight="1">
      <c r="A227" s="15" t="s">
        <v>839</v>
      </c>
      <c r="B227" s="20" t="s">
        <v>21</v>
      </c>
      <c r="C227" s="20" t="s">
        <v>689</v>
      </c>
      <c r="D227" s="39" t="s">
        <v>1771</v>
      </c>
      <c r="E227" s="16"/>
      <c r="F227" s="16" t="s">
        <v>56</v>
      </c>
      <c r="G227" s="20" t="s">
        <v>57</v>
      </c>
      <c r="H227" s="16" t="s">
        <v>408</v>
      </c>
      <c r="I227" s="21" t="s">
        <v>409</v>
      </c>
      <c r="J227" s="22">
        <v>52500000</v>
      </c>
      <c r="K227" s="23">
        <v>45931</v>
      </c>
      <c r="L227" s="23">
        <v>46022</v>
      </c>
      <c r="M227" s="16" t="s">
        <v>59</v>
      </c>
      <c r="N227" s="40" t="s">
        <v>2362</v>
      </c>
      <c r="O227" s="32" t="str">
        <f>IFERROR(VLOOKUP($G227,[1]DB2!$A:$B,2,0),"공동과책 확인")</f>
        <v>Choi, Yuyoung</v>
      </c>
      <c r="P227" s="32" t="s">
        <v>2257</v>
      </c>
      <c r="Q227" s="32" t="s">
        <v>1797</v>
      </c>
      <c r="R227" s="32" t="str">
        <f>IFERROR(VLOOKUP($I227,[1]DB2!$F$2:$I$58,2,0),"옛날 부서명 확인")</f>
        <v xml:space="preserve">Land Strategy Assessment Division </v>
      </c>
      <c r="S227" s="32" t="str">
        <f>IFERROR(VLOOKUP($I227,[1]DB2!$F$2:$I$58,4,0),"옛날 부서명 확인")</f>
        <v xml:space="preserve">Environmental Assessment Group </v>
      </c>
    </row>
    <row r="228" spans="1:19" ht="18" customHeight="1">
      <c r="A228" s="15" t="s">
        <v>847</v>
      </c>
      <c r="B228" s="29" t="s">
        <v>21</v>
      </c>
      <c r="C228" s="29" t="s">
        <v>713</v>
      </c>
      <c r="D228" s="26" t="s">
        <v>1816</v>
      </c>
      <c r="E228" s="26"/>
      <c r="F228" s="26" t="s">
        <v>714</v>
      </c>
      <c r="G228" s="29" t="s">
        <v>715</v>
      </c>
      <c r="H228" s="26" t="s">
        <v>332</v>
      </c>
      <c r="I228" s="26" t="s">
        <v>333</v>
      </c>
      <c r="J228" s="30">
        <v>50000000</v>
      </c>
      <c r="K228" s="31">
        <v>45932</v>
      </c>
      <c r="L228" s="31">
        <v>46114</v>
      </c>
      <c r="M228" s="26" t="s">
        <v>716</v>
      </c>
      <c r="N228" s="40" t="s">
        <v>1784</v>
      </c>
      <c r="O228" s="32" t="str">
        <f>IFERROR(VLOOKUP($G228,[1]DB2!$A:$B,2,0),"공동과책 확인")</f>
        <v>Shin, Dong Won</v>
      </c>
      <c r="P228" s="32" t="s">
        <v>2255</v>
      </c>
      <c r="Q228" s="32" t="s">
        <v>1800</v>
      </c>
      <c r="R228" s="32" t="str">
        <f>IFERROR(VLOOKUP($I228,[1]DB2!$F$2:$I$58,2,0),"옛날 부서명 확인")</f>
        <v xml:space="preserve">Green Economy Division </v>
      </c>
      <c r="S228" s="32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5" t="s">
        <v>849</v>
      </c>
      <c r="B229" s="20" t="s">
        <v>21</v>
      </c>
      <c r="C229" s="20" t="s">
        <v>711</v>
      </c>
      <c r="D229" s="39" t="s">
        <v>1782</v>
      </c>
      <c r="E229" s="16"/>
      <c r="F229" s="16" t="s">
        <v>135</v>
      </c>
      <c r="G229" s="20" t="s">
        <v>136</v>
      </c>
      <c r="H229" s="16" t="s">
        <v>408</v>
      </c>
      <c r="I229" s="21" t="s">
        <v>409</v>
      </c>
      <c r="J229" s="22">
        <v>49500000</v>
      </c>
      <c r="K229" s="23">
        <v>45943</v>
      </c>
      <c r="L229" s="23">
        <v>46182</v>
      </c>
      <c r="M229" s="16" t="s">
        <v>138</v>
      </c>
      <c r="N229" s="40" t="s">
        <v>1783</v>
      </c>
      <c r="O229" s="32" t="str">
        <f>IFERROR(VLOOKUP($G229,[1]DB2!$A:$B,2,0),"공동과책 확인")</f>
        <v>Yi, Youngjae</v>
      </c>
      <c r="P229" s="32" t="s">
        <v>1796</v>
      </c>
      <c r="Q229" s="32" t="s">
        <v>1800</v>
      </c>
      <c r="R229" s="32" t="str">
        <f>IFERROR(VLOOKUP($I229,[1]DB2!$F$2:$I$58,2,0),"옛날 부서명 확인")</f>
        <v xml:space="preserve">Land Strategy Assessment Division </v>
      </c>
      <c r="S229" s="32" t="str">
        <f>IFERROR(VLOOKUP($I229,[1]DB2!$F$2:$I$58,4,0),"옛날 부서명 확인")</f>
        <v xml:space="preserve">Environmental Assessment Group </v>
      </c>
    </row>
    <row r="230" spans="1:19" ht="18" customHeight="1">
      <c r="A230" s="15" t="s">
        <v>854</v>
      </c>
      <c r="B230" s="20" t="s">
        <v>21</v>
      </c>
      <c r="C230" s="20" t="s">
        <v>721</v>
      </c>
      <c r="D230" s="39" t="s">
        <v>1786</v>
      </c>
      <c r="E230" s="16"/>
      <c r="F230" s="16" t="s">
        <v>214</v>
      </c>
      <c r="G230" s="20" t="s">
        <v>215</v>
      </c>
      <c r="H230" s="16" t="s">
        <v>198</v>
      </c>
      <c r="I230" s="21" t="s">
        <v>199</v>
      </c>
      <c r="J230" s="22">
        <v>171000000</v>
      </c>
      <c r="K230" s="23">
        <v>45948</v>
      </c>
      <c r="L230" s="23">
        <v>46312</v>
      </c>
      <c r="M230" s="16" t="s">
        <v>722</v>
      </c>
      <c r="N230" s="40" t="s">
        <v>2300</v>
      </c>
      <c r="O230" s="32" t="str">
        <f>IFERROR(VLOOKUP($G230,[1]DB2!$A:$B,2,0),"공동과책 확인")</f>
        <v>Han, Haejin</v>
      </c>
      <c r="P230" s="32" t="s">
        <v>1801</v>
      </c>
      <c r="Q230" s="32"/>
      <c r="R230" s="32" t="str">
        <f>IFERROR(VLOOKUP($I230,[1]DB2!$F$2:$I$58,2,0),"옛날 부서명 확인")</f>
        <v xml:space="preserve">Water Management Division </v>
      </c>
      <c r="S230" s="32" t="str">
        <f>IFERROR(VLOOKUP($I230,[1]DB2!$F$2:$I$58,4,0),"옛날 부서명 확인")</f>
        <v xml:space="preserve">Land and Environment Research Group </v>
      </c>
    </row>
    <row r="231" spans="1:19" ht="18" customHeight="1">
      <c r="A231" s="15" t="s">
        <v>856</v>
      </c>
      <c r="B231" s="20" t="s">
        <v>21</v>
      </c>
      <c r="C231" s="20" t="s">
        <v>718</v>
      </c>
      <c r="D231" s="39" t="s">
        <v>1785</v>
      </c>
      <c r="E231" s="16"/>
      <c r="F231" s="16" t="s">
        <v>552</v>
      </c>
      <c r="G231" s="20" t="s">
        <v>553</v>
      </c>
      <c r="H231" s="16" t="s">
        <v>198</v>
      </c>
      <c r="I231" s="21" t="s">
        <v>199</v>
      </c>
      <c r="J231" s="22">
        <v>49700000</v>
      </c>
      <c r="K231" s="23">
        <v>45958</v>
      </c>
      <c r="L231" s="23">
        <v>46197</v>
      </c>
      <c r="M231" s="16" t="s">
        <v>719</v>
      </c>
      <c r="N231" s="40" t="s">
        <v>2319</v>
      </c>
      <c r="O231" s="32" t="str">
        <f>IFERROR(VLOOKUP($G231,[1]DB2!$A:$B,2,0),"공동과책 확인")</f>
        <v xml:space="preserve">Oh, Myoungjin </v>
      </c>
      <c r="P231" s="32" t="s">
        <v>1801</v>
      </c>
      <c r="Q231" s="32" t="s">
        <v>1800</v>
      </c>
      <c r="R231" s="32" t="str">
        <f>IFERROR(VLOOKUP($I231,[1]DB2!$F$2:$I$58,2,0),"옛날 부서명 확인")</f>
        <v xml:space="preserve">Water Management Division </v>
      </c>
      <c r="S231" s="32" t="str">
        <f>IFERROR(VLOOKUP($I231,[1]DB2!$F$2:$I$58,4,0),"옛날 부서명 확인")</f>
        <v xml:space="preserve">Land and Environment Research Group </v>
      </c>
    </row>
    <row r="232" spans="1:19" s="24" customFormat="1" ht="18" customHeight="1">
      <c r="A232" s="15" t="s">
        <v>861</v>
      </c>
      <c r="B232" s="20" t="s">
        <v>953</v>
      </c>
      <c r="C232" s="20" t="s">
        <v>974</v>
      </c>
      <c r="D232" s="39" t="s">
        <v>975</v>
      </c>
      <c r="E232" s="16"/>
      <c r="F232" s="16" t="s">
        <v>728</v>
      </c>
      <c r="G232" s="20" t="s">
        <v>729</v>
      </c>
      <c r="H232" s="16" t="s">
        <v>343</v>
      </c>
      <c r="I232" s="21" t="s">
        <v>191</v>
      </c>
      <c r="J232" s="22">
        <v>15000000</v>
      </c>
      <c r="K232" s="23">
        <v>45971</v>
      </c>
      <c r="L232" s="23">
        <v>46151</v>
      </c>
      <c r="M232" s="16"/>
      <c r="N232" s="40" t="s">
        <v>2380</v>
      </c>
      <c r="O232" s="32" t="str">
        <f>IFERROR(VLOOKUP($G232,[1]DB2!$A:$B,2,0),"공동과책 확인")</f>
        <v>Hahn, Jinseok</v>
      </c>
      <c r="P232" s="32" t="s">
        <v>2255</v>
      </c>
      <c r="Q232" s="32" t="s">
        <v>1800</v>
      </c>
      <c r="R232" s="32" t="str">
        <f>IFERROR(VLOOKUP($I232,[1]DB2!$F$2:$I$58,2,0),"옛날 부서명 확인")</f>
        <v>Atmospheric Environment Division</v>
      </c>
      <c r="S232" s="32" t="str">
        <f>IFERROR(VLOOKUP($I232,[1]DB2!$F$2:$I$58,4,0),"옛날 부서명 확인")</f>
        <v xml:space="preserve">Climate and Atmospheric Strategy Research Group  </v>
      </c>
    </row>
    <row r="233" spans="1:19" s="24" customFormat="1" ht="18" customHeight="1">
      <c r="A233" s="15" t="s">
        <v>867</v>
      </c>
      <c r="B233" s="20" t="s">
        <v>953</v>
      </c>
      <c r="C233" s="20" t="s">
        <v>976</v>
      </c>
      <c r="D233" s="39" t="s">
        <v>977</v>
      </c>
      <c r="E233" s="16"/>
      <c r="F233" s="16" t="s">
        <v>429</v>
      </c>
      <c r="G233" s="20" t="s">
        <v>430</v>
      </c>
      <c r="H233" s="16" t="s">
        <v>198</v>
      </c>
      <c r="I233" s="21" t="s">
        <v>199</v>
      </c>
      <c r="J233" s="22">
        <v>15000000</v>
      </c>
      <c r="K233" s="23">
        <v>45971</v>
      </c>
      <c r="L233" s="23">
        <v>46151</v>
      </c>
      <c r="M233" s="16"/>
      <c r="N233" s="40" t="s">
        <v>1794</v>
      </c>
      <c r="O233" s="32" t="str">
        <f>IFERROR(VLOOKUP($G233,[1]DB2!$A:$B,2,0),"공동과책 확인")</f>
        <v>Choi, Mikyoung</v>
      </c>
      <c r="P233" s="32" t="s">
        <v>1801</v>
      </c>
      <c r="Q233" s="32" t="s">
        <v>1798</v>
      </c>
      <c r="R233" s="32" t="str">
        <f>IFERROR(VLOOKUP($I233,[1]DB2!$F$2:$I$58,2,0),"옛날 부서명 확인")</f>
        <v xml:space="preserve">Water Management Division </v>
      </c>
      <c r="S233" s="32" t="str">
        <f>IFERROR(VLOOKUP($I233,[1]DB2!$F$2:$I$58,4,0),"옛날 부서명 확인")</f>
        <v xml:space="preserve">Land and Environment Research Group </v>
      </c>
    </row>
    <row r="234" spans="1:19" ht="18" customHeight="1">
      <c r="A234" s="15" t="s">
        <v>871</v>
      </c>
      <c r="B234" s="20" t="s">
        <v>21</v>
      </c>
      <c r="C234" s="20" t="s">
        <v>724</v>
      </c>
      <c r="D234" s="39" t="s">
        <v>1787</v>
      </c>
      <c r="E234" s="16"/>
      <c r="F234" s="16" t="s">
        <v>129</v>
      </c>
      <c r="G234" s="20" t="s">
        <v>2023</v>
      </c>
      <c r="H234" s="16" t="s">
        <v>198</v>
      </c>
      <c r="I234" s="21" t="s">
        <v>199</v>
      </c>
      <c r="J234" s="22">
        <v>63300000</v>
      </c>
      <c r="K234" s="23">
        <v>45973</v>
      </c>
      <c r="L234" s="23">
        <v>46152</v>
      </c>
      <c r="M234" s="16" t="s">
        <v>725</v>
      </c>
      <c r="N234" s="40" t="s">
        <v>1788</v>
      </c>
      <c r="O234" s="32" t="str">
        <f>IFERROR(VLOOKUP($G234,[1]DB2!$A:$B,2,0),"공동과책 확인")</f>
        <v>Han, Daeho</v>
      </c>
      <c r="P234" s="32" t="s">
        <v>1796</v>
      </c>
      <c r="Q234" s="32" t="s">
        <v>2281</v>
      </c>
      <c r="R234" s="32" t="str">
        <f>IFERROR(VLOOKUP($I234,[1]DB2!$F$2:$I$58,2,0),"옛날 부서명 확인")</f>
        <v xml:space="preserve">Water Management Division </v>
      </c>
      <c r="S234" s="32" t="str">
        <f>IFERROR(VLOOKUP($I234,[1]DB2!$F$2:$I$58,4,0),"옛날 부서명 확인")</f>
        <v xml:space="preserve">Land and Environment Research Group </v>
      </c>
    </row>
    <row r="235" spans="1:19" s="24" customFormat="1" ht="18" customHeight="1">
      <c r="A235" s="15"/>
      <c r="B235" s="20" t="s">
        <v>727</v>
      </c>
      <c r="C235" s="20" t="s">
        <v>1903</v>
      </c>
      <c r="D235" s="39" t="s">
        <v>2024</v>
      </c>
      <c r="E235" s="16"/>
      <c r="F235" s="16" t="s">
        <v>1904</v>
      </c>
      <c r="G235" s="20" t="s">
        <v>1295</v>
      </c>
      <c r="H235" s="16" t="s">
        <v>382</v>
      </c>
      <c r="I235" s="21" t="s">
        <v>383</v>
      </c>
      <c r="J235" s="22">
        <v>3000000</v>
      </c>
      <c r="K235" s="23">
        <v>45999</v>
      </c>
      <c r="L235" s="23">
        <v>46180</v>
      </c>
      <c r="M235" s="16"/>
      <c r="N235" s="40" t="s">
        <v>2020</v>
      </c>
      <c r="O235" s="32" t="str">
        <f>IFERROR(VLOOKUP($G235,[1]DB2!$A:$B,2,0),"공동과책 확인")</f>
        <v>Yun, Seokhwan</v>
      </c>
      <c r="P235" s="32" t="s">
        <v>1796</v>
      </c>
      <c r="Q235" s="32" t="s">
        <v>1798</v>
      </c>
      <c r="R235" s="32" t="str">
        <f>IFERROR(VLOOKUP($I235,[1]DB2!$F$2:$I$58,2,0),"옛날 부서명 확인")</f>
        <v xml:space="preserve">Social Infrastructure Assessment Division </v>
      </c>
      <c r="S235" s="32" t="str">
        <f>IFERROR(VLOOKUP($I235,[1]DB2!$F$2:$I$58,4,0),"옛날 부서명 확인")</f>
        <v xml:space="preserve">Environmental Assessment Group </v>
      </c>
    </row>
    <row r="236" spans="1:19" s="24" customFormat="1" ht="18" customHeight="1">
      <c r="A236" s="15"/>
      <c r="B236" s="20" t="s">
        <v>727</v>
      </c>
      <c r="C236" s="20" t="s">
        <v>1905</v>
      </c>
      <c r="D236" s="39" t="s">
        <v>2021</v>
      </c>
      <c r="E236" s="16"/>
      <c r="F236" s="16" t="s">
        <v>1906</v>
      </c>
      <c r="G236" s="20" t="s">
        <v>1605</v>
      </c>
      <c r="H236" s="16" t="s">
        <v>208</v>
      </c>
      <c r="I236" s="21" t="s">
        <v>209</v>
      </c>
      <c r="J236" s="22">
        <v>3000000</v>
      </c>
      <c r="K236" s="23">
        <v>45999</v>
      </c>
      <c r="L236" s="23">
        <v>46180</v>
      </c>
      <c r="M236" s="16"/>
      <c r="N236" s="40" t="s">
        <v>2026</v>
      </c>
      <c r="O236" s="32" t="str">
        <f>IFERROR(VLOOKUP($G236,[1]DB2!$A:$B,2,0),"공동과책 확인")</f>
        <v>Song, Seulki</v>
      </c>
      <c r="P236" s="32" t="s">
        <v>2256</v>
      </c>
      <c r="Q236" s="32" t="s">
        <v>2255</v>
      </c>
      <c r="R236" s="32" t="str">
        <f>IFERROR(VLOOKUP($I236,[1]DB2!$F$2:$I$58,2,0),"옛날 부서명 확인")</f>
        <v>Spatial Planning and Management Division</v>
      </c>
      <c r="S236" s="32" t="str">
        <f>IFERROR(VLOOKUP($I236,[1]DB2!$F$2:$I$58,4,0),"옛날 부서명 확인")</f>
        <v xml:space="preserve">Land and Environment Research Group </v>
      </c>
    </row>
    <row r="237" spans="1:19" ht="18" customHeight="1">
      <c r="A237" s="15"/>
      <c r="B237" s="20" t="s">
        <v>21</v>
      </c>
      <c r="C237" s="20" t="s">
        <v>1817</v>
      </c>
      <c r="D237" s="39" t="s">
        <v>2027</v>
      </c>
      <c r="E237" s="16"/>
      <c r="F237" s="16" t="s">
        <v>152</v>
      </c>
      <c r="G237" s="20" t="s">
        <v>153</v>
      </c>
      <c r="H237" s="16" t="s">
        <v>425</v>
      </c>
      <c r="I237" s="21" t="s">
        <v>124</v>
      </c>
      <c r="J237" s="22">
        <v>79400000</v>
      </c>
      <c r="K237" s="23">
        <v>46000</v>
      </c>
      <c r="L237" s="23">
        <v>46180</v>
      </c>
      <c r="M237" s="16" t="s">
        <v>1818</v>
      </c>
      <c r="N237" s="40" t="s">
        <v>2028</v>
      </c>
      <c r="O237" s="32" t="str">
        <f>IFERROR(VLOOKUP($G237,[1]DB2!$A:$B,2,0),"공동과책 확인")</f>
        <v>Lee, Jeongeun</v>
      </c>
      <c r="P237" s="32" t="s">
        <v>2255</v>
      </c>
      <c r="Q237" s="32" t="s">
        <v>1800</v>
      </c>
      <c r="R237" s="32" t="str">
        <f>IFERROR(VLOOKUP($I237,[1]DB2!$F$2:$I$58,2,0),"옛날 부서명 확인")</f>
        <v xml:space="preserve">Carbon Neutrality Division </v>
      </c>
      <c r="S237" s="32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5"/>
      <c r="B238" s="20" t="s">
        <v>21</v>
      </c>
      <c r="C238" s="20" t="s">
        <v>1819</v>
      </c>
      <c r="D238" s="39" t="s">
        <v>2029</v>
      </c>
      <c r="E238" s="16"/>
      <c r="F238" s="16" t="s">
        <v>236</v>
      </c>
      <c r="G238" s="20" t="s">
        <v>237</v>
      </c>
      <c r="H238" s="16" t="s">
        <v>208</v>
      </c>
      <c r="I238" s="21" t="s">
        <v>209</v>
      </c>
      <c r="J238" s="22">
        <v>49600000</v>
      </c>
      <c r="K238" s="23">
        <v>46000</v>
      </c>
      <c r="L238" s="23">
        <v>46180</v>
      </c>
      <c r="M238" s="16" t="s">
        <v>1820</v>
      </c>
      <c r="N238" s="40" t="s">
        <v>2030</v>
      </c>
      <c r="O238" s="32" t="str">
        <f>IFERROR(VLOOKUP($G238,[1]DB2!$A:$B,2,0),"공동과책 확인")</f>
        <v>Choi, Hee-Sun</v>
      </c>
      <c r="P238" s="32" t="s">
        <v>1797</v>
      </c>
      <c r="Q238" s="32" t="s">
        <v>2259</v>
      </c>
      <c r="R238" s="32" t="str">
        <f>IFERROR(VLOOKUP($I238,[1]DB2!$F$2:$I$58,2,0),"옛날 부서명 확인")</f>
        <v>Spatial Planning and Management Division</v>
      </c>
      <c r="S238" s="32" t="str">
        <f>IFERROR(VLOOKUP($I238,[1]DB2!$F$2:$I$58,4,0),"옛날 부서명 확인")</f>
        <v xml:space="preserve">Land and Environment Research Group </v>
      </c>
    </row>
    <row r="239" spans="1:19" ht="18" customHeight="1">
      <c r="A239" s="15"/>
      <c r="B239" s="20" t="s">
        <v>21</v>
      </c>
      <c r="C239" s="20" t="s">
        <v>1821</v>
      </c>
      <c r="D239" s="39" t="s">
        <v>2031</v>
      </c>
      <c r="E239" s="16"/>
      <c r="F239" s="16" t="s">
        <v>509</v>
      </c>
      <c r="G239" s="20" t="s">
        <v>510</v>
      </c>
      <c r="H239" s="16" t="s">
        <v>32</v>
      </c>
      <c r="I239" s="21" t="s">
        <v>27</v>
      </c>
      <c r="J239" s="22">
        <v>39600000</v>
      </c>
      <c r="K239" s="23">
        <v>46002</v>
      </c>
      <c r="L239" s="23">
        <v>46179</v>
      </c>
      <c r="M239" s="16" t="s">
        <v>1822</v>
      </c>
      <c r="N239" s="40" t="s">
        <v>2032</v>
      </c>
      <c r="O239" s="32" t="str">
        <f>IFERROR(VLOOKUP($G239,[1]DB2!$A:$B,2,0),"공동과책 확인")</f>
        <v>Lee, Who-Seung</v>
      </c>
      <c r="P239" s="32" t="s">
        <v>1797</v>
      </c>
      <c r="Q239" s="32" t="s">
        <v>1796</v>
      </c>
      <c r="R239" s="32" t="str">
        <f>IFERROR(VLOOKUP($I239,[1]DB2!$F$2:$I$58,2,0),"옛날 부서명 확인")</f>
        <v xml:space="preserve">Natural Environment Division </v>
      </c>
      <c r="S239" s="32" t="str">
        <f>IFERROR(VLOOKUP($I239,[1]DB2!$F$2:$I$58,4,0),"옛날 부서명 확인")</f>
        <v xml:space="preserve">Land and Environment Research Group </v>
      </c>
    </row>
    <row r="240" spans="1:19" ht="18" customHeight="1">
      <c r="A240" s="15"/>
      <c r="B240" s="20" t="s">
        <v>21</v>
      </c>
      <c r="C240" s="20" t="s">
        <v>1823</v>
      </c>
      <c r="D240" s="39" t="s">
        <v>2287</v>
      </c>
      <c r="E240" s="16"/>
      <c r="F240" s="16" t="s">
        <v>51</v>
      </c>
      <c r="G240" s="20" t="s">
        <v>52</v>
      </c>
      <c r="H240" s="16" t="s">
        <v>32</v>
      </c>
      <c r="I240" s="21" t="s">
        <v>27</v>
      </c>
      <c r="J240" s="22">
        <v>68600000</v>
      </c>
      <c r="K240" s="23">
        <v>46017</v>
      </c>
      <c r="L240" s="23">
        <v>46038</v>
      </c>
      <c r="M240" s="16" t="s">
        <v>1820</v>
      </c>
      <c r="N240" s="44" t="s">
        <v>2363</v>
      </c>
      <c r="O240" s="32" t="str">
        <f>IFERROR(VLOOKUP($G240,[1]DB2!$A:$B,2,0),"공동과책 확인")</f>
        <v xml:space="preserve">Koo, Kyung Ah </v>
      </c>
      <c r="P240" s="32" t="s">
        <v>2281</v>
      </c>
      <c r="Q240" s="32" t="s">
        <v>1797</v>
      </c>
      <c r="R240" s="32" t="str">
        <f>IFERROR(VLOOKUP($I240,[1]DB2!$F$2:$I$58,2,0),"옛날 부서명 확인")</f>
        <v xml:space="preserve">Natural Environment Division </v>
      </c>
      <c r="S240" s="32" t="str">
        <f>IFERROR(VLOOKUP($I240,[1]DB2!$F$2:$I$58,4,0),"옛날 부서명 확인")</f>
        <v xml:space="preserve">Land and Environment Research Group </v>
      </c>
    </row>
    <row r="241" spans="1:19" ht="18" customHeight="1">
      <c r="A241" s="28"/>
      <c r="B241" s="15" t="s">
        <v>21</v>
      </c>
      <c r="C241" s="15" t="s">
        <v>161</v>
      </c>
      <c r="D241" s="16" t="s">
        <v>2221</v>
      </c>
      <c r="E241" s="16"/>
      <c r="F241" s="16" t="s">
        <v>158</v>
      </c>
      <c r="G241" s="15" t="s">
        <v>159</v>
      </c>
      <c r="H241" s="16" t="s">
        <v>46</v>
      </c>
      <c r="I241" s="16" t="s">
        <v>594</v>
      </c>
      <c r="J241" s="17">
        <v>79025000</v>
      </c>
      <c r="K241" s="18">
        <v>45488</v>
      </c>
      <c r="L241" s="18">
        <v>45747</v>
      </c>
      <c r="M241" s="26"/>
      <c r="N241" s="37" t="s">
        <v>2235</v>
      </c>
      <c r="O241" s="32" t="str">
        <f>IFERROR(VLOOKUP($G241,[1]DB2!$A:$B,2,0),"공동과책 확인")</f>
        <v>Park, Chang Sug</v>
      </c>
      <c r="P241" s="32" t="s">
        <v>2255</v>
      </c>
      <c r="Q241" s="32" t="s">
        <v>2256</v>
      </c>
      <c r="R241" s="32" t="str">
        <f>IFERROR(VLOOKUP($I241,[1]DB2!$F$2:$I$58,2,0),"옛날 부서명 확인")</f>
        <v>Executive Office</v>
      </c>
      <c r="S241" s="32" t="str">
        <f>IFERROR(VLOOKUP($I241,[1]DB2!$F$2:$I$58,4,0),"옛날 부서명 확인")</f>
        <v>Executive Office</v>
      </c>
    </row>
    <row r="242" spans="1:19" ht="18" customHeight="1">
      <c r="A242" s="28"/>
      <c r="B242" s="15" t="s">
        <v>797</v>
      </c>
      <c r="C242" s="15" t="s">
        <v>798</v>
      </c>
      <c r="D242" s="16" t="s">
        <v>799</v>
      </c>
      <c r="E242" s="16"/>
      <c r="F242" s="16" t="s">
        <v>800</v>
      </c>
      <c r="G242" s="15" t="s">
        <v>801</v>
      </c>
      <c r="H242" s="16" t="s">
        <v>787</v>
      </c>
      <c r="I242" s="16" t="s">
        <v>788</v>
      </c>
      <c r="J242" s="17">
        <v>41455000</v>
      </c>
      <c r="K242" s="18">
        <v>45658</v>
      </c>
      <c r="L242" s="18">
        <v>46022</v>
      </c>
      <c r="M242" s="41"/>
      <c r="N242" s="37" t="s">
        <v>2317</v>
      </c>
      <c r="O242" s="32" t="str">
        <f>IFERROR(VLOOKUP($G242,[1]DB2!$A:$B,2,0),"공동과책 확인")</f>
        <v>Park, Jun Hyun</v>
      </c>
      <c r="P242" s="32" t="s">
        <v>2258</v>
      </c>
      <c r="Q242" s="32"/>
      <c r="R242" s="32" t="str">
        <f>IFERROR(VLOOKUP($I242,[1]DB2!$F$2:$I$58,2,0),"옛날 부서명 확인")</f>
        <v>Global Cooperation Team</v>
      </c>
      <c r="S242" s="32" t="str">
        <f>IFERROR(VLOOKUP($I242,[1]DB2!$F$2:$I$58,4,0),"옛날 부서명 확인")</f>
        <v xml:space="preserve">Department of Planning and Strategy </v>
      </c>
    </row>
    <row r="243" spans="1:19" ht="18" customHeight="1">
      <c r="A243" s="28"/>
      <c r="B243" s="15" t="s">
        <v>797</v>
      </c>
      <c r="C243" s="15" t="s">
        <v>803</v>
      </c>
      <c r="D243" s="16" t="s">
        <v>2285</v>
      </c>
      <c r="E243" s="16"/>
      <c r="F243" s="16" t="s">
        <v>206</v>
      </c>
      <c r="G243" s="15" t="s">
        <v>321</v>
      </c>
      <c r="H243" s="16" t="s">
        <v>208</v>
      </c>
      <c r="I243" s="16" t="s">
        <v>209</v>
      </c>
      <c r="J243" s="17">
        <v>97075000</v>
      </c>
      <c r="K243" s="18">
        <v>45658</v>
      </c>
      <c r="L243" s="18">
        <v>46022</v>
      </c>
      <c r="M243" s="41"/>
      <c r="N243" s="37" t="s">
        <v>2209</v>
      </c>
      <c r="O243" s="32" t="str">
        <f>IFERROR(VLOOKUP($G243,[1]DB2!$A:$B,2,0),"공동과책 확인")</f>
        <v>Yoon, Jeongho</v>
      </c>
      <c r="P243" s="32" t="s">
        <v>2256</v>
      </c>
      <c r="Q243" s="32" t="s">
        <v>2257</v>
      </c>
      <c r="R243" s="32" t="str">
        <f>IFERROR(VLOOKUP($I243,[1]DB2!$F$2:$I$58,2,0),"옛날 부서명 확인")</f>
        <v>Spatial Planning and Management Division</v>
      </c>
      <c r="S243" s="32" t="str">
        <f>IFERROR(VLOOKUP($I243,[1]DB2!$F$2:$I$58,4,0),"옛날 부서명 확인")</f>
        <v xml:space="preserve">Land and Environment Research Group </v>
      </c>
    </row>
    <row r="244" spans="1:19" ht="18" customHeight="1">
      <c r="A244" s="28"/>
      <c r="B244" s="15" t="s">
        <v>797</v>
      </c>
      <c r="C244" s="15" t="s">
        <v>806</v>
      </c>
      <c r="D244" s="16" t="s">
        <v>807</v>
      </c>
      <c r="E244" s="16"/>
      <c r="F244" s="16" t="s">
        <v>36</v>
      </c>
      <c r="G244" s="15" t="s">
        <v>37</v>
      </c>
      <c r="H244" s="16" t="s">
        <v>38</v>
      </c>
      <c r="I244" s="16" t="s">
        <v>39</v>
      </c>
      <c r="J244" s="17">
        <v>281823000</v>
      </c>
      <c r="K244" s="18">
        <v>45658</v>
      </c>
      <c r="L244" s="18">
        <v>46022</v>
      </c>
      <c r="M244" s="41"/>
      <c r="N244" s="37" t="s">
        <v>2316</v>
      </c>
      <c r="O244" s="32" t="str">
        <f>IFERROR(VLOOKUP($G244,[1]DB2!$A:$B,2,0),"공동과책 확인")</f>
        <v>Cho, Kongjang</v>
      </c>
      <c r="P244" s="32" t="s">
        <v>2158</v>
      </c>
      <c r="Q244" s="32" t="s">
        <v>2257</v>
      </c>
      <c r="R244" s="32" t="str">
        <f>IFERROR(VLOOKUP($I244,[1]DB2!$F$2:$I$58,2,0),"옛날 부서명 확인")</f>
        <v xml:space="preserve">Living Environment and Society Division </v>
      </c>
      <c r="S244" s="32" t="str">
        <f>IFERROR(VLOOKUP($I244,[1]DB2!$F$2:$I$58,4,0),"옛날 부서명 확인")</f>
        <v xml:space="preserve">Sustainable Development Research Group  </v>
      </c>
    </row>
    <row r="245" spans="1:19" ht="18" customHeight="1">
      <c r="A245" s="28"/>
      <c r="B245" s="15" t="s">
        <v>797</v>
      </c>
      <c r="C245" s="15" t="s">
        <v>809</v>
      </c>
      <c r="D245" s="16" t="s">
        <v>810</v>
      </c>
      <c r="E245" s="16"/>
      <c r="F245" s="16" t="s">
        <v>288</v>
      </c>
      <c r="G245" s="15" t="s">
        <v>289</v>
      </c>
      <c r="H245" s="16" t="s">
        <v>290</v>
      </c>
      <c r="I245" s="16" t="s">
        <v>291</v>
      </c>
      <c r="J245" s="17">
        <v>93231000</v>
      </c>
      <c r="K245" s="18">
        <v>45658</v>
      </c>
      <c r="L245" s="18">
        <v>46022</v>
      </c>
      <c r="M245" s="41"/>
      <c r="N245" s="37" t="s">
        <v>2210</v>
      </c>
      <c r="O245" s="32" t="str">
        <f>IFERROR(VLOOKUP($G245,[1]DB2!$A:$B,2,0),"공동과책 확인")</f>
        <v>Jung, Huicheul</v>
      </c>
      <c r="P245" s="32" t="s">
        <v>1798</v>
      </c>
      <c r="Q245" s="32"/>
      <c r="R245" s="32" t="str">
        <f>IFERROR(VLOOKUP($I245,[1]DB2!$F$2:$I$58,2,0),"옛날 부서명 확인")</f>
        <v xml:space="preserve">Korea Adaptation Center for Climate Change </v>
      </c>
      <c r="S245" s="32" t="str">
        <f>IFERROR(VLOOKUP($I245,[1]DB2!$F$2:$I$58,4,0),"옛날 부서명 확인")</f>
        <v xml:space="preserve">Korea Adaptation Center for Climate Change </v>
      </c>
    </row>
    <row r="246" spans="1:19" ht="18" customHeight="1">
      <c r="A246" s="28"/>
      <c r="B246" s="15" t="s">
        <v>797</v>
      </c>
      <c r="C246" s="15" t="s">
        <v>812</v>
      </c>
      <c r="D246" s="16" t="s">
        <v>813</v>
      </c>
      <c r="E246" s="16"/>
      <c r="F246" s="16" t="s">
        <v>484</v>
      </c>
      <c r="G246" s="15" t="s">
        <v>485</v>
      </c>
      <c r="H246" s="16" t="s">
        <v>486</v>
      </c>
      <c r="I246" s="16" t="s">
        <v>487</v>
      </c>
      <c r="J246" s="17">
        <v>305880000</v>
      </c>
      <c r="K246" s="18">
        <v>45658</v>
      </c>
      <c r="L246" s="18">
        <v>46022</v>
      </c>
      <c r="M246" s="41"/>
      <c r="N246" s="37" t="s">
        <v>2211</v>
      </c>
      <c r="O246" s="32" t="str">
        <f>IFERROR(VLOOKUP($G246,[1]DB2!$A:$B,2,0),"공동과책 확인")</f>
        <v>Lee, Sangbum</v>
      </c>
      <c r="P246" s="32" t="s">
        <v>1796</v>
      </c>
      <c r="Q246" s="32"/>
      <c r="R246" s="32" t="str">
        <f>IFERROR(VLOOKUP($I246,[1]DB2!$F$2:$I$58,2,0),"옛날 부서명 확인")</f>
        <v xml:space="preserve">Environmental Assessment Group </v>
      </c>
      <c r="S246" s="32" t="str">
        <f>IFERROR(VLOOKUP($I246,[1]DB2!$F$2:$I$58,4,0),"옛날 부서명 확인")</f>
        <v xml:space="preserve">Environmental Assessment Group </v>
      </c>
    </row>
    <row r="247" spans="1:19" ht="18" customHeight="1">
      <c r="A247" s="28"/>
      <c r="B247" s="15" t="s">
        <v>797</v>
      </c>
      <c r="C247" s="15" t="s">
        <v>814</v>
      </c>
      <c r="D247" s="16" t="s">
        <v>815</v>
      </c>
      <c r="E247" s="16"/>
      <c r="F247" s="16" t="s">
        <v>484</v>
      </c>
      <c r="G247" s="15" t="s">
        <v>485</v>
      </c>
      <c r="H247" s="16" t="s">
        <v>486</v>
      </c>
      <c r="I247" s="16" t="s">
        <v>487</v>
      </c>
      <c r="J247" s="17">
        <v>313728000</v>
      </c>
      <c r="K247" s="18">
        <v>45658</v>
      </c>
      <c r="L247" s="18">
        <v>46022</v>
      </c>
      <c r="M247" s="41"/>
      <c r="N247" s="37" t="s">
        <v>2212</v>
      </c>
      <c r="O247" s="32" t="str">
        <f>IFERROR(VLOOKUP($G247,[1]DB2!$A:$B,2,0),"공동과책 확인")</f>
        <v>Lee, Sangbum</v>
      </c>
      <c r="P247" s="32" t="s">
        <v>1796</v>
      </c>
      <c r="Q247" s="32" t="s">
        <v>1798</v>
      </c>
      <c r="R247" s="32" t="str">
        <f>IFERROR(VLOOKUP($I247,[1]DB2!$F$2:$I$58,2,0),"옛날 부서명 확인")</f>
        <v xml:space="preserve">Environmental Assessment Group </v>
      </c>
      <c r="S247" s="32" t="str">
        <f>IFERROR(VLOOKUP($I247,[1]DB2!$F$2:$I$58,4,0),"옛날 부서명 확인")</f>
        <v xml:space="preserve">Environmental Assessment Group </v>
      </c>
    </row>
    <row r="248" spans="1:19" ht="18" customHeight="1">
      <c r="A248" s="28"/>
      <c r="B248" s="15" t="s">
        <v>797</v>
      </c>
      <c r="C248" s="15" t="s">
        <v>821</v>
      </c>
      <c r="D248" s="16" t="s">
        <v>822</v>
      </c>
      <c r="E248" s="16"/>
      <c r="F248" s="16" t="s">
        <v>278</v>
      </c>
      <c r="G248" s="15" t="s">
        <v>279</v>
      </c>
      <c r="H248" s="16" t="s">
        <v>198</v>
      </c>
      <c r="I248" s="16" t="s">
        <v>199</v>
      </c>
      <c r="J248" s="17">
        <v>329637000</v>
      </c>
      <c r="K248" s="18">
        <v>45658</v>
      </c>
      <c r="L248" s="18">
        <v>46022</v>
      </c>
      <c r="M248" s="41"/>
      <c r="N248" s="37" t="s">
        <v>2213</v>
      </c>
      <c r="O248" s="32" t="str">
        <f>IFERROR(VLOOKUP($G248,[1]DB2!$A:$B,2,0),"공동과책 확인")</f>
        <v>Ryu, Jaena</v>
      </c>
      <c r="P248" s="32" t="s">
        <v>1801</v>
      </c>
      <c r="Q248" s="32" t="s">
        <v>1800</v>
      </c>
      <c r="R248" s="32" t="str">
        <f>IFERROR(VLOOKUP($I248,[1]DB2!$F$2:$I$58,2,0),"옛날 부서명 확인")</f>
        <v xml:space="preserve">Water Management Division </v>
      </c>
      <c r="S248" s="32" t="str">
        <f>IFERROR(VLOOKUP($I248,[1]DB2!$F$2:$I$58,4,0),"옛날 부서명 확인")</f>
        <v xml:space="preserve">Land and Environment Research Group </v>
      </c>
    </row>
    <row r="249" spans="1:19" ht="18" customHeight="1">
      <c r="A249" s="28"/>
      <c r="B249" s="15" t="s">
        <v>797</v>
      </c>
      <c r="C249" s="15" t="s">
        <v>823</v>
      </c>
      <c r="D249" s="16" t="s">
        <v>824</v>
      </c>
      <c r="E249" s="16"/>
      <c r="F249" s="16" t="s">
        <v>260</v>
      </c>
      <c r="G249" s="15" t="s">
        <v>261</v>
      </c>
      <c r="H249" s="16" t="s">
        <v>254</v>
      </c>
      <c r="I249" s="16" t="s">
        <v>255</v>
      </c>
      <c r="J249" s="17">
        <v>280000000</v>
      </c>
      <c r="K249" s="18">
        <v>45658</v>
      </c>
      <c r="L249" s="18">
        <v>46022</v>
      </c>
      <c r="M249" s="41"/>
      <c r="N249" s="37" t="s">
        <v>1812</v>
      </c>
      <c r="O249" s="32" t="str">
        <f>IFERROR(VLOOKUP($G249,[1]DB2!$A:$B,2,0),"공동과책 확인")</f>
        <v xml:space="preserve">Yi, Sora </v>
      </c>
      <c r="P249" s="32" t="s">
        <v>2157</v>
      </c>
      <c r="Q249" s="32"/>
      <c r="R249" s="32" t="str">
        <f>IFERROR(VLOOKUP($I249,[1]DB2!$F$2:$I$58,2,0),"옛날 부서명 확인")</f>
        <v xml:space="preserve">Circular Economy Division </v>
      </c>
      <c r="S249" s="32" t="str">
        <f>IFERROR(VLOOKUP($I249,[1]DB2!$F$2:$I$58,4,0),"옛날 부서명 확인")</f>
        <v xml:space="preserve">Sustainable Development Research Group  </v>
      </c>
    </row>
    <row r="250" spans="1:19" ht="18" customHeight="1">
      <c r="A250" s="28"/>
      <c r="B250" s="15" t="s">
        <v>797</v>
      </c>
      <c r="C250" s="15" t="s">
        <v>825</v>
      </c>
      <c r="D250" s="16" t="s">
        <v>826</v>
      </c>
      <c r="E250" s="16"/>
      <c r="F250" s="16" t="s">
        <v>509</v>
      </c>
      <c r="G250" s="15" t="s">
        <v>510</v>
      </c>
      <c r="H250" s="16" t="s">
        <v>32</v>
      </c>
      <c r="I250" s="16" t="s">
        <v>27</v>
      </c>
      <c r="J250" s="17">
        <v>250000000</v>
      </c>
      <c r="K250" s="18">
        <v>45658</v>
      </c>
      <c r="L250" s="18">
        <v>46022</v>
      </c>
      <c r="M250" s="41"/>
      <c r="N250" s="37" t="s">
        <v>1806</v>
      </c>
      <c r="O250" s="32" t="str">
        <f>IFERROR(VLOOKUP($G250,[1]DB2!$A:$B,2,0),"공동과책 확인")</f>
        <v>Lee, Who-Seung</v>
      </c>
      <c r="P250" s="32" t="s">
        <v>1797</v>
      </c>
      <c r="Q250" s="32" t="s">
        <v>2259</v>
      </c>
      <c r="R250" s="32" t="str">
        <f>IFERROR(VLOOKUP($I250,[1]DB2!$F$2:$I$58,2,0),"옛날 부서명 확인")</f>
        <v xml:space="preserve">Natural Environment Division </v>
      </c>
      <c r="S250" s="32" t="str">
        <f>IFERROR(VLOOKUP($I250,[1]DB2!$F$2:$I$58,4,0),"옛날 부서명 확인")</f>
        <v xml:space="preserve">Land and Environment Research Group </v>
      </c>
    </row>
    <row r="251" spans="1:19" ht="18" customHeight="1">
      <c r="A251" s="28"/>
      <c r="B251" s="15" t="s">
        <v>797</v>
      </c>
      <c r="C251" s="15" t="s">
        <v>828</v>
      </c>
      <c r="D251" s="16" t="s">
        <v>829</v>
      </c>
      <c r="E251" s="16"/>
      <c r="F251" s="16" t="s">
        <v>465</v>
      </c>
      <c r="G251" s="15" t="s">
        <v>466</v>
      </c>
      <c r="H251" s="16" t="s">
        <v>382</v>
      </c>
      <c r="I251" s="16" t="s">
        <v>383</v>
      </c>
      <c r="J251" s="17">
        <v>200000000</v>
      </c>
      <c r="K251" s="18">
        <v>45658</v>
      </c>
      <c r="L251" s="18">
        <v>46022</v>
      </c>
      <c r="M251" s="41"/>
      <c r="N251" s="37" t="s">
        <v>2214</v>
      </c>
      <c r="O251" s="32" t="str">
        <f>IFERROR(VLOOKUP($G251,[1]DB2!$A:$B,2,0),"공동과책 확인")</f>
        <v>Park, Taeho</v>
      </c>
      <c r="P251" s="32" t="s">
        <v>1796</v>
      </c>
      <c r="Q251" s="32" t="s">
        <v>2257</v>
      </c>
      <c r="R251" s="32" t="str">
        <f>IFERROR(VLOOKUP($I251,[1]DB2!$F$2:$I$58,2,0),"옛날 부서명 확인")</f>
        <v xml:space="preserve">Social Infrastructure Assessment Division </v>
      </c>
      <c r="S251" s="32" t="str">
        <f>IFERROR(VLOOKUP($I251,[1]DB2!$F$2:$I$58,4,0),"옛날 부서명 확인")</f>
        <v xml:space="preserve">Environmental Assessment Group </v>
      </c>
    </row>
    <row r="252" spans="1:19" ht="18" customHeight="1">
      <c r="A252" s="28"/>
      <c r="B252" s="15" t="s">
        <v>797</v>
      </c>
      <c r="C252" s="15" t="s">
        <v>830</v>
      </c>
      <c r="D252" s="16" t="s">
        <v>831</v>
      </c>
      <c r="E252" s="16"/>
      <c r="F252" s="16" t="s">
        <v>144</v>
      </c>
      <c r="G252" s="15" t="s">
        <v>145</v>
      </c>
      <c r="H252" s="16" t="s">
        <v>527</v>
      </c>
      <c r="I252" s="16" t="s">
        <v>528</v>
      </c>
      <c r="J252" s="17">
        <v>198956000</v>
      </c>
      <c r="K252" s="18">
        <v>45658</v>
      </c>
      <c r="L252" s="18">
        <v>46022</v>
      </c>
      <c r="M252" s="41"/>
      <c r="N252" s="37" t="s">
        <v>2215</v>
      </c>
      <c r="O252" s="32" t="str">
        <f>IFERROR(VLOOKUP($G252,[1]DB2!$A:$B,2,0),"공동과책 확인")</f>
        <v>Suh, Yang-won</v>
      </c>
      <c r="P252" s="32" t="s">
        <v>1800</v>
      </c>
      <c r="Q252" s="32" t="s">
        <v>2259</v>
      </c>
      <c r="R252" s="32" t="str">
        <f>IFERROR(VLOOKUP($I252,[1]DB2!$F$2:$I$58,2,0),"옛날 부서명 확인")</f>
        <v xml:space="preserve">Sustainable Development Research Group  </v>
      </c>
      <c r="S252" s="32" t="str">
        <f>IFERROR(VLOOKUP($I252,[1]DB2!$F$2:$I$58,4,0),"옛날 부서명 확인")</f>
        <v xml:space="preserve">Sustainable Development Research Group  </v>
      </c>
    </row>
    <row r="253" spans="1:19" ht="18" customHeight="1">
      <c r="A253" s="28"/>
      <c r="B253" s="15" t="s">
        <v>840</v>
      </c>
      <c r="C253" s="15" t="s">
        <v>878</v>
      </c>
      <c r="D253" s="16" t="s">
        <v>879</v>
      </c>
      <c r="E253" s="16"/>
      <c r="F253" s="16" t="s">
        <v>484</v>
      </c>
      <c r="G253" s="15" t="s">
        <v>485</v>
      </c>
      <c r="H253" s="16" t="s">
        <v>486</v>
      </c>
      <c r="I253" s="16" t="s">
        <v>487</v>
      </c>
      <c r="J253" s="17">
        <v>80016000</v>
      </c>
      <c r="K253" s="18">
        <v>45658</v>
      </c>
      <c r="L253" s="18">
        <v>46022</v>
      </c>
      <c r="M253" s="41"/>
      <c r="N253" s="37" t="s">
        <v>2216</v>
      </c>
      <c r="O253" s="32" t="str">
        <f>IFERROR(VLOOKUP($G253,[1]DB2!$A:$B,2,0),"공동과책 확인")</f>
        <v>Lee, Sangbum</v>
      </c>
      <c r="P253" s="32" t="s">
        <v>1796</v>
      </c>
      <c r="Q253" s="32"/>
      <c r="R253" s="32" t="str">
        <f>IFERROR(VLOOKUP($I253,[1]DB2!$F$2:$I$58,2,0),"옛날 부서명 확인")</f>
        <v xml:space="preserve">Environmental Assessment Group </v>
      </c>
      <c r="S253" s="32" t="str">
        <f>IFERROR(VLOOKUP($I253,[1]DB2!$F$2:$I$58,4,0),"옛날 부서명 확인")</f>
        <v xml:space="preserve">Environmental Assessment Group </v>
      </c>
    </row>
    <row r="254" spans="1:19" ht="18" customHeight="1">
      <c r="A254" s="28"/>
      <c r="B254" s="15" t="s">
        <v>840</v>
      </c>
      <c r="C254" s="15" t="s">
        <v>880</v>
      </c>
      <c r="D254" s="16" t="s">
        <v>881</v>
      </c>
      <c r="E254" s="16"/>
      <c r="F254" s="16" t="s">
        <v>484</v>
      </c>
      <c r="G254" s="15" t="s">
        <v>485</v>
      </c>
      <c r="H254" s="16" t="s">
        <v>486</v>
      </c>
      <c r="I254" s="16" t="s">
        <v>487</v>
      </c>
      <c r="J254" s="17">
        <v>284629000</v>
      </c>
      <c r="K254" s="18">
        <v>45658</v>
      </c>
      <c r="L254" s="18">
        <v>46022</v>
      </c>
      <c r="M254" s="41"/>
      <c r="N254" s="37" t="s">
        <v>2217</v>
      </c>
      <c r="O254" s="32" t="str">
        <f>IFERROR(VLOOKUP($G254,[1]DB2!$A:$B,2,0),"공동과책 확인")</f>
        <v>Lee, Sangbum</v>
      </c>
      <c r="P254" s="32" t="s">
        <v>1796</v>
      </c>
      <c r="Q254" s="32"/>
      <c r="R254" s="32" t="str">
        <f>IFERROR(VLOOKUP($I254,[1]DB2!$F$2:$I$58,2,0),"옛날 부서명 확인")</f>
        <v xml:space="preserve">Environmental Assessment Group </v>
      </c>
      <c r="S254" s="32" t="str">
        <f>IFERROR(VLOOKUP($I254,[1]DB2!$F$2:$I$58,4,0),"옛날 부서명 확인")</f>
        <v xml:space="preserve">Environmental Assessment Group </v>
      </c>
    </row>
    <row r="255" spans="1:19" ht="18" customHeight="1">
      <c r="A255" s="28"/>
      <c r="B255" s="15" t="s">
        <v>21</v>
      </c>
      <c r="C255" s="15" t="s">
        <v>287</v>
      </c>
      <c r="D255" s="16" t="s">
        <v>2236</v>
      </c>
      <c r="E255" s="16"/>
      <c r="F255" s="16" t="s">
        <v>288</v>
      </c>
      <c r="G255" s="15" t="s">
        <v>289</v>
      </c>
      <c r="H255" s="16" t="s">
        <v>290</v>
      </c>
      <c r="I255" s="16" t="s">
        <v>291</v>
      </c>
      <c r="J255" s="17">
        <v>3095000000</v>
      </c>
      <c r="K255" s="18">
        <v>45658</v>
      </c>
      <c r="L255" s="18">
        <v>46022</v>
      </c>
      <c r="M255" s="41" t="s">
        <v>2237</v>
      </c>
      <c r="N255" s="37" t="s">
        <v>2240</v>
      </c>
      <c r="O255" s="32" t="str">
        <f>IFERROR(VLOOKUP($G255,[1]DB2!$A:$B,2,0),"공동과책 확인")</f>
        <v>Jung, Huicheul</v>
      </c>
      <c r="P255" s="32" t="s">
        <v>1798</v>
      </c>
      <c r="Q255" s="32"/>
      <c r="R255" s="32" t="str">
        <f>IFERROR(VLOOKUP($I255,[1]DB2!$F$2:$I$58,2,0),"옛날 부서명 확인")</f>
        <v xml:space="preserve">Korea Adaptation Center for Climate Change </v>
      </c>
      <c r="S255" s="32" t="str">
        <f>IFERROR(VLOOKUP($I255,[1]DB2!$F$2:$I$58,4,0),"옛날 부서명 확인")</f>
        <v xml:space="preserve">Korea Adaptation Center for Climate Change </v>
      </c>
    </row>
    <row r="256" spans="1:19" ht="18" customHeight="1">
      <c r="A256" s="28"/>
      <c r="B256" s="15" t="s">
        <v>727</v>
      </c>
      <c r="C256" s="15" t="s">
        <v>2222</v>
      </c>
      <c r="D256" s="16" t="s">
        <v>2223</v>
      </c>
      <c r="E256" s="16"/>
      <c r="F256" s="16" t="s">
        <v>730</v>
      </c>
      <c r="G256" s="15" t="s">
        <v>731</v>
      </c>
      <c r="H256" s="16" t="s">
        <v>732</v>
      </c>
      <c r="I256" s="16" t="s">
        <v>2230</v>
      </c>
      <c r="J256" s="17">
        <v>3000000</v>
      </c>
      <c r="K256" s="18">
        <v>45537</v>
      </c>
      <c r="L256" s="18">
        <v>45716</v>
      </c>
      <c r="M256" s="41"/>
      <c r="N256" s="37" t="s">
        <v>2241</v>
      </c>
      <c r="O256" s="32" t="str">
        <f>IFERROR(VLOOKUP($G256,[1]DB2!$A:$B,2,0),"공동과책 확인")</f>
        <v>Lim, Hyesook</v>
      </c>
      <c r="P256" s="32" t="s">
        <v>2157</v>
      </c>
      <c r="Q256" s="32"/>
      <c r="R256" s="32" t="s">
        <v>2248</v>
      </c>
      <c r="S256" s="32" t="s">
        <v>2249</v>
      </c>
    </row>
    <row r="257" spans="1:19" ht="18" customHeight="1">
      <c r="A257" s="28"/>
      <c r="B257" s="15" t="s">
        <v>727</v>
      </c>
      <c r="C257" s="15" t="s">
        <v>734</v>
      </c>
      <c r="D257" s="16" t="s">
        <v>2224</v>
      </c>
      <c r="E257" s="16"/>
      <c r="F257" s="16" t="s">
        <v>735</v>
      </c>
      <c r="G257" s="15" t="s">
        <v>736</v>
      </c>
      <c r="H257" s="16" t="s">
        <v>137</v>
      </c>
      <c r="I257" s="16" t="s">
        <v>2231</v>
      </c>
      <c r="J257" s="17">
        <v>3000000</v>
      </c>
      <c r="K257" s="18">
        <v>45537</v>
      </c>
      <c r="L257" s="18">
        <v>45716</v>
      </c>
      <c r="M257" s="41"/>
      <c r="N257" s="37" t="s">
        <v>2242</v>
      </c>
      <c r="O257" s="32" t="str">
        <f>IFERROR(VLOOKUP($G257,[1]DB2!$A:$B,2,0),"공동과책 확인")</f>
        <v xml:space="preserve">Heo, Namjoo </v>
      </c>
      <c r="P257" s="32" t="s">
        <v>2256</v>
      </c>
      <c r="Q257" s="32" t="s">
        <v>2259</v>
      </c>
      <c r="R257" s="32" t="s">
        <v>2250</v>
      </c>
      <c r="S257" s="32" t="s">
        <v>2251</v>
      </c>
    </row>
    <row r="258" spans="1:19" ht="18" customHeight="1">
      <c r="A258" s="28"/>
      <c r="B258" s="15" t="s">
        <v>727</v>
      </c>
      <c r="C258" s="15" t="s">
        <v>741</v>
      </c>
      <c r="D258" s="16" t="s">
        <v>2225</v>
      </c>
      <c r="E258" s="16"/>
      <c r="F258" s="16" t="s">
        <v>565</v>
      </c>
      <c r="G258" s="15" t="s">
        <v>566</v>
      </c>
      <c r="H258" s="16" t="s">
        <v>26</v>
      </c>
      <c r="I258" s="16" t="s">
        <v>27</v>
      </c>
      <c r="J258" s="17">
        <v>3000000</v>
      </c>
      <c r="K258" s="18">
        <v>45628</v>
      </c>
      <c r="L258" s="18">
        <v>45747</v>
      </c>
      <c r="M258" s="41"/>
      <c r="N258" s="37" t="s">
        <v>2243</v>
      </c>
      <c r="O258" s="32" t="str">
        <f>IFERROR(VLOOKUP($G258,[1]DB2!$A:$B,2,0),"공동과책 확인")</f>
        <v>Hong, Hyunjung</v>
      </c>
      <c r="P258" s="32" t="s">
        <v>1797</v>
      </c>
      <c r="Q258" s="32" t="s">
        <v>2256</v>
      </c>
      <c r="R258" s="32" t="str">
        <f>IFERROR(VLOOKUP($I258,[1]DB2!$F$2:$I$58,2,0),"옛날 부서명 확인")</f>
        <v xml:space="preserve">Natural Environment Division </v>
      </c>
      <c r="S258" s="32" t="str">
        <f>IFERROR(VLOOKUP($I258,[1]DB2!$F$2:$I$58,4,0),"옛날 부서명 확인")</f>
        <v xml:space="preserve">Land and Environment Research Group </v>
      </c>
    </row>
    <row r="259" spans="1:19" ht="18" customHeight="1">
      <c r="A259" s="28"/>
      <c r="B259" s="15" t="s">
        <v>727</v>
      </c>
      <c r="C259" s="15" t="s">
        <v>743</v>
      </c>
      <c r="D259" s="16" t="s">
        <v>2226</v>
      </c>
      <c r="E259" s="16"/>
      <c r="F259" s="16" t="s">
        <v>744</v>
      </c>
      <c r="G259" s="15" t="s">
        <v>745</v>
      </c>
      <c r="H259" s="16" t="s">
        <v>146</v>
      </c>
      <c r="I259" s="16" t="s">
        <v>147</v>
      </c>
      <c r="J259" s="17">
        <v>3000000</v>
      </c>
      <c r="K259" s="18">
        <v>45628</v>
      </c>
      <c r="L259" s="18">
        <v>45808</v>
      </c>
      <c r="M259" s="41"/>
      <c r="N259" s="37" t="s">
        <v>2244</v>
      </c>
      <c r="O259" s="32" t="str">
        <f>IFERROR(VLOOKUP($G259,[1]DB2!$A:$B,2,0),"공동과책 확인")</f>
        <v xml:space="preserve"> Lim, Miyoung</v>
      </c>
      <c r="P259" s="32" t="s">
        <v>2257</v>
      </c>
      <c r="Q259" s="32" t="s">
        <v>2281</v>
      </c>
      <c r="R259" s="32" t="str">
        <f>IFERROR(VLOOKUP($I259,[1]DB2!$F$2:$I$58,2,0),"옛날 부서명 확인")</f>
        <v xml:space="preserve">Environmental Health Division </v>
      </c>
      <c r="S259" s="32" t="str">
        <f>IFERROR(VLOOKUP($I259,[1]DB2!$F$2:$I$58,4,0),"옛날 부서명 확인")</f>
        <v xml:space="preserve">Sustainable Development Research Group  </v>
      </c>
    </row>
    <row r="260" spans="1:19" ht="18" customHeight="1">
      <c r="A260" s="28"/>
      <c r="B260" s="15" t="s">
        <v>727</v>
      </c>
      <c r="C260" s="15" t="s">
        <v>747</v>
      </c>
      <c r="D260" s="16" t="s">
        <v>2227</v>
      </c>
      <c r="E260" s="16"/>
      <c r="F260" s="16" t="s">
        <v>748</v>
      </c>
      <c r="G260" s="15" t="s">
        <v>749</v>
      </c>
      <c r="H260" s="16" t="s">
        <v>750</v>
      </c>
      <c r="I260" s="16" t="s">
        <v>2232</v>
      </c>
      <c r="J260" s="17">
        <v>3000000</v>
      </c>
      <c r="K260" s="18">
        <v>45628</v>
      </c>
      <c r="L260" s="18">
        <v>45808</v>
      </c>
      <c r="M260" s="41"/>
      <c r="N260" s="37" t="s">
        <v>2245</v>
      </c>
      <c r="O260" s="32" t="str">
        <f>IFERROR(VLOOKUP($G260,[1]DB2!$A:$B,2,0),"공동과책 확인")</f>
        <v xml:space="preserve">Kim, Doyeon </v>
      </c>
      <c r="P260" s="32" t="s">
        <v>2257</v>
      </c>
      <c r="Q260" s="32" t="s">
        <v>1799</v>
      </c>
      <c r="R260" s="32" t="s">
        <v>2252</v>
      </c>
      <c r="S260" s="32" t="s">
        <v>2251</v>
      </c>
    </row>
    <row r="261" spans="1:19" ht="18" customHeight="1">
      <c r="A261" s="28"/>
      <c r="B261" s="15" t="s">
        <v>727</v>
      </c>
      <c r="C261" s="15" t="s">
        <v>752</v>
      </c>
      <c r="D261" s="16" t="s">
        <v>2228</v>
      </c>
      <c r="E261" s="16"/>
      <c r="F261" s="16" t="s">
        <v>429</v>
      </c>
      <c r="G261" s="15" t="s">
        <v>430</v>
      </c>
      <c r="H261" s="16" t="s">
        <v>93</v>
      </c>
      <c r="I261" s="16" t="s">
        <v>2233</v>
      </c>
      <c r="J261" s="17">
        <v>3000000</v>
      </c>
      <c r="K261" s="18">
        <v>45628</v>
      </c>
      <c r="L261" s="18">
        <v>45808</v>
      </c>
      <c r="M261" s="41"/>
      <c r="N261" s="37" t="s">
        <v>2246</v>
      </c>
      <c r="O261" s="32" t="str">
        <f>IFERROR(VLOOKUP($G261,[1]DB2!$A:$B,2,0),"공동과책 확인")</f>
        <v>Choi, Mikyoung</v>
      </c>
      <c r="P261" s="32" t="s">
        <v>1801</v>
      </c>
      <c r="Q261" s="32" t="s">
        <v>1797</v>
      </c>
      <c r="R261" s="32" t="s">
        <v>2253</v>
      </c>
      <c r="S261" s="32" t="s">
        <v>2254</v>
      </c>
    </row>
    <row r="262" spans="1:19" ht="18" customHeight="1">
      <c r="A262" s="28"/>
      <c r="B262" s="15" t="s">
        <v>727</v>
      </c>
      <c r="C262" s="15" t="s">
        <v>754</v>
      </c>
      <c r="D262" s="16" t="s">
        <v>2229</v>
      </c>
      <c r="E262" s="16"/>
      <c r="F262" s="16" t="s">
        <v>755</v>
      </c>
      <c r="G262" s="15" t="s">
        <v>756</v>
      </c>
      <c r="H262" s="16" t="s">
        <v>58</v>
      </c>
      <c r="I262" s="16" t="s">
        <v>2234</v>
      </c>
      <c r="J262" s="17">
        <v>3000000</v>
      </c>
      <c r="K262" s="18">
        <v>45628</v>
      </c>
      <c r="L262" s="18">
        <v>45808</v>
      </c>
      <c r="M262" s="41"/>
      <c r="N262" s="37" t="s">
        <v>2247</v>
      </c>
      <c r="O262" s="32"/>
      <c r="P262" s="32" t="s">
        <v>1796</v>
      </c>
      <c r="Q262" s="32" t="s">
        <v>1797</v>
      </c>
      <c r="R262" s="32" t="s">
        <v>2251</v>
      </c>
      <c r="S262" s="32" t="s">
        <v>2251</v>
      </c>
    </row>
    <row r="263" spans="1:19" ht="18" customHeight="1">
      <c r="A263" s="28"/>
      <c r="B263" s="15" t="s">
        <v>21</v>
      </c>
      <c r="C263" s="15" t="s">
        <v>2238</v>
      </c>
      <c r="D263" s="16" t="s">
        <v>2496</v>
      </c>
      <c r="E263" s="16"/>
      <c r="F263" s="16">
        <v>10210</v>
      </c>
      <c r="G263" s="15" t="s">
        <v>289</v>
      </c>
      <c r="H263" s="16" t="s">
        <v>290</v>
      </c>
      <c r="I263" s="16" t="s">
        <v>291</v>
      </c>
      <c r="J263" s="17">
        <v>412532000</v>
      </c>
      <c r="K263" s="34">
        <v>46023</v>
      </c>
      <c r="L263" s="34">
        <v>46387</v>
      </c>
      <c r="M263" s="41" t="s">
        <v>1818</v>
      </c>
      <c r="N263" s="37" t="s">
        <v>2239</v>
      </c>
      <c r="O263" s="32" t="str">
        <f>IFERROR(VLOOKUP($G263,[1]DB2!$A:$B,2,0),"공동과책 확인")</f>
        <v>Jung, Huicheul</v>
      </c>
      <c r="P263" s="32" t="s">
        <v>1798</v>
      </c>
      <c r="Q263" s="32"/>
      <c r="R263" s="32" t="str">
        <f>IFERROR(VLOOKUP($I263,[1]DB2!$F$2:$I$58,2,0),"옛날 부서명 확인")</f>
        <v xml:space="preserve">Korea Adaptation Center for Climate Change </v>
      </c>
      <c r="S263" s="32" t="str">
        <f>IFERROR(VLOOKUP($I263,[1]DB2!$F$2:$I$58,4,0),"옛날 부서명 확인")</f>
        <v xml:space="preserve">Korea Adaptation Center for Climate Change </v>
      </c>
    </row>
    <row r="264" spans="1:19" ht="18" customHeight="1">
      <c r="A264" s="15"/>
      <c r="B264" s="20" t="s">
        <v>21</v>
      </c>
      <c r="C264" s="20" t="s">
        <v>1824</v>
      </c>
      <c r="D264" s="39" t="s">
        <v>2033</v>
      </c>
      <c r="E264" s="16"/>
      <c r="F264" s="16" t="s">
        <v>295</v>
      </c>
      <c r="G264" s="20" t="s">
        <v>296</v>
      </c>
      <c r="H264" s="16" t="s">
        <v>297</v>
      </c>
      <c r="I264" s="21" t="s">
        <v>298</v>
      </c>
      <c r="J264" s="22">
        <v>117456000</v>
      </c>
      <c r="K264" s="23">
        <v>46023</v>
      </c>
      <c r="L264" s="23">
        <v>46387</v>
      </c>
      <c r="M264" s="16" t="s">
        <v>1818</v>
      </c>
      <c r="N264" s="40" t="s">
        <v>2291</v>
      </c>
      <c r="O264" s="32" t="str">
        <f>IFERROR(VLOOKUP($G264,[1]DB2!$A:$B,2,0),"공동과책 확인")</f>
        <v>Shin, Jiyoung</v>
      </c>
      <c r="P264" s="32" t="s">
        <v>1798</v>
      </c>
      <c r="Q264" s="32"/>
      <c r="R264" s="32" t="str">
        <f>IFERROR(VLOOKUP($I264,[1]DB2!$F$2:$I$58,2,0),"옛날 부서명 확인")</f>
        <v xml:space="preserve">Climate Adaptation Policy Division </v>
      </c>
      <c r="S264" s="32" t="str">
        <f>IFERROR(VLOOKUP($I264,[1]DB2!$F$2:$I$58,4,0),"옛날 부서명 확인")</f>
        <v xml:space="preserve">Korea Adaptation Center for Climate Change </v>
      </c>
    </row>
    <row r="265" spans="1:19" ht="18" customHeight="1">
      <c r="A265" s="15"/>
      <c r="B265" s="20" t="s">
        <v>21</v>
      </c>
      <c r="C265" s="20" t="s">
        <v>1825</v>
      </c>
      <c r="D265" s="39" t="s">
        <v>2034</v>
      </c>
      <c r="E265" s="16"/>
      <c r="F265" s="16" t="s">
        <v>70</v>
      </c>
      <c r="G265" s="20" t="s">
        <v>71</v>
      </c>
      <c r="H265" s="16" t="s">
        <v>72</v>
      </c>
      <c r="I265" s="21" t="s">
        <v>73</v>
      </c>
      <c r="J265" s="22">
        <v>137992000</v>
      </c>
      <c r="K265" s="23">
        <v>46023</v>
      </c>
      <c r="L265" s="23">
        <v>46387</v>
      </c>
      <c r="M265" s="16" t="s">
        <v>1818</v>
      </c>
      <c r="N265" s="40" t="s">
        <v>2035</v>
      </c>
      <c r="O265" s="32" t="str">
        <f>IFERROR(VLOOKUP($G265,[1]DB2!$A:$B,2,0),"공동과책 확인")</f>
        <v>Cho, Hanna</v>
      </c>
      <c r="P265" s="32" t="s">
        <v>1798</v>
      </c>
      <c r="Q265" s="32"/>
      <c r="R265" s="32" t="str">
        <f>IFERROR(VLOOKUP($I265,[1]DB2!$F$2:$I$58,2,0),"옛날 부서명 확인")</f>
        <v xml:space="preserve">Climate Adaptation Cooperation Division </v>
      </c>
      <c r="S265" s="32" t="str">
        <f>IFERROR(VLOOKUP($I265,[1]DB2!$F$2:$I$58,4,0),"옛날 부서명 확인")</f>
        <v xml:space="preserve">Korea Adaptation Center for Climate Change </v>
      </c>
    </row>
    <row r="266" spans="1:19" ht="18" customHeight="1">
      <c r="A266" s="15"/>
      <c r="B266" s="20" t="s">
        <v>21</v>
      </c>
      <c r="C266" s="20" t="s">
        <v>1826</v>
      </c>
      <c r="D266" s="39" t="s">
        <v>2036</v>
      </c>
      <c r="E266" s="16"/>
      <c r="F266" s="16" t="s">
        <v>70</v>
      </c>
      <c r="G266" s="20" t="s">
        <v>71</v>
      </c>
      <c r="H266" s="16" t="s">
        <v>72</v>
      </c>
      <c r="I266" s="21" t="s">
        <v>73</v>
      </c>
      <c r="J266" s="22">
        <v>127136000</v>
      </c>
      <c r="K266" s="23">
        <v>46023</v>
      </c>
      <c r="L266" s="23">
        <v>46387</v>
      </c>
      <c r="M266" s="16" t="s">
        <v>1818</v>
      </c>
      <c r="N266" s="40" t="s">
        <v>2318</v>
      </c>
      <c r="O266" s="32" t="str">
        <f>IFERROR(VLOOKUP($G266,[1]DB2!$A:$B,2,0),"공동과책 확인")</f>
        <v>Cho, Hanna</v>
      </c>
      <c r="P266" s="32" t="s">
        <v>1798</v>
      </c>
      <c r="Q266" s="32" t="s">
        <v>2158</v>
      </c>
      <c r="R266" s="32" t="str">
        <f>IFERROR(VLOOKUP($I266,[1]DB2!$F$2:$I$58,2,0),"옛날 부서명 확인")</f>
        <v xml:space="preserve">Climate Adaptation Cooperation Division </v>
      </c>
      <c r="S266" s="32" t="str">
        <f>IFERROR(VLOOKUP($I266,[1]DB2!$F$2:$I$58,4,0),"옛날 부서명 확인")</f>
        <v xml:space="preserve">Korea Adaptation Center for Climate Change </v>
      </c>
    </row>
    <row r="267" spans="1:19" ht="18" customHeight="1">
      <c r="A267" s="15"/>
      <c r="B267" s="20" t="s">
        <v>21</v>
      </c>
      <c r="C267" s="20" t="s">
        <v>1827</v>
      </c>
      <c r="D267" s="39" t="s">
        <v>2037</v>
      </c>
      <c r="E267" s="16"/>
      <c r="F267" s="16" t="s">
        <v>288</v>
      </c>
      <c r="G267" s="20" t="s">
        <v>289</v>
      </c>
      <c r="H267" s="16" t="s">
        <v>290</v>
      </c>
      <c r="I267" s="21" t="s">
        <v>291</v>
      </c>
      <c r="J267" s="22">
        <v>29948000</v>
      </c>
      <c r="K267" s="23">
        <v>46023</v>
      </c>
      <c r="L267" s="23">
        <v>46387</v>
      </c>
      <c r="M267" s="16" t="s">
        <v>1818</v>
      </c>
      <c r="N267" s="40" t="s">
        <v>2159</v>
      </c>
      <c r="O267" s="32" t="str">
        <f>IFERROR(VLOOKUP($G267,[1]DB2!$A:$B,2,0),"공동과책 확인")</f>
        <v>Jung, Huicheul</v>
      </c>
      <c r="P267" s="32" t="s">
        <v>1798</v>
      </c>
      <c r="Q267" s="32"/>
      <c r="R267" s="32" t="str">
        <f>IFERROR(VLOOKUP($I267,[1]DB2!$F$2:$I$58,2,0),"옛날 부서명 확인")</f>
        <v xml:space="preserve">Korea Adaptation Center for Climate Change </v>
      </c>
      <c r="S267" s="32" t="str">
        <f>IFERROR(VLOOKUP($I267,[1]DB2!$F$2:$I$58,4,0),"옛날 부서명 확인")</f>
        <v xml:space="preserve">Korea Adaptation Center for Climate Change </v>
      </c>
    </row>
    <row r="268" spans="1:19" ht="18" customHeight="1">
      <c r="A268" s="15"/>
      <c r="B268" s="20" t="s">
        <v>21</v>
      </c>
      <c r="C268" s="20" t="s">
        <v>1828</v>
      </c>
      <c r="D268" s="39" t="s">
        <v>2038</v>
      </c>
      <c r="E268" s="16"/>
      <c r="F268" s="16" t="s">
        <v>206</v>
      </c>
      <c r="G268" s="20" t="s">
        <v>321</v>
      </c>
      <c r="H268" s="16" t="s">
        <v>208</v>
      </c>
      <c r="I268" s="21" t="s">
        <v>209</v>
      </c>
      <c r="J268" s="22">
        <v>95596800</v>
      </c>
      <c r="K268" s="23">
        <v>46023</v>
      </c>
      <c r="L268" s="23">
        <v>46387</v>
      </c>
      <c r="M268" s="16" t="s">
        <v>1818</v>
      </c>
      <c r="N268" s="40" t="s">
        <v>2156</v>
      </c>
      <c r="O268" s="32" t="str">
        <f>IFERROR(VLOOKUP($G268,[1]DB2!$A:$B,2,0),"공동과책 확인")</f>
        <v>Yoon, Jeongho</v>
      </c>
      <c r="P268" s="32" t="s">
        <v>2256</v>
      </c>
      <c r="Q268" s="32" t="s">
        <v>1796</v>
      </c>
      <c r="R268" s="32" t="str">
        <f>IFERROR(VLOOKUP($I268,[1]DB2!$F$2:$I$58,2,0),"옛날 부서명 확인")</f>
        <v>Spatial Planning and Management Division</v>
      </c>
      <c r="S268" s="32" t="str">
        <f>IFERROR(VLOOKUP($I268,[1]DB2!$F$2:$I$58,4,0),"옛날 부서명 확인")</f>
        <v xml:space="preserve">Land and Environment Research Group </v>
      </c>
    </row>
    <row r="269" spans="1:19" ht="18" customHeight="1">
      <c r="A269" s="15"/>
      <c r="B269" s="20" t="s">
        <v>21</v>
      </c>
      <c r="C269" s="20" t="s">
        <v>1829</v>
      </c>
      <c r="D269" s="39" t="s">
        <v>1830</v>
      </c>
      <c r="E269" s="16"/>
      <c r="F269" s="16" t="s">
        <v>325</v>
      </c>
      <c r="G269" s="20" t="s">
        <v>326</v>
      </c>
      <c r="H269" s="16" t="s">
        <v>593</v>
      </c>
      <c r="I269" s="21" t="s">
        <v>594</v>
      </c>
      <c r="J269" s="22">
        <v>32600000</v>
      </c>
      <c r="K269" s="23">
        <v>46023</v>
      </c>
      <c r="L269" s="23">
        <v>46387</v>
      </c>
      <c r="M269" s="16" t="s">
        <v>74</v>
      </c>
      <c r="N269" s="40" t="s">
        <v>2040</v>
      </c>
      <c r="O269" s="32" t="str">
        <f>IFERROR(VLOOKUP($G269,[1]DB2!$A:$B,2,0),"공동과책 확인")</f>
        <v>Chang, Hoon</v>
      </c>
      <c r="P269" s="32" t="s">
        <v>1798</v>
      </c>
      <c r="Q269" s="32" t="s">
        <v>2258</v>
      </c>
      <c r="R269" s="32" t="str">
        <f>IFERROR(VLOOKUP($I269,[1]DB2!$F$2:$I$58,2,0),"옛날 부서명 확인")</f>
        <v>Executive Office</v>
      </c>
      <c r="S269" s="32" t="str">
        <f>IFERROR(VLOOKUP($I269,[1]DB2!$F$2:$I$58,4,0),"옛날 부서명 확인")</f>
        <v>Executive Office</v>
      </c>
    </row>
    <row r="270" spans="1:19" ht="18" customHeight="1">
      <c r="A270" s="15"/>
      <c r="B270" s="20" t="s">
        <v>21</v>
      </c>
      <c r="C270" s="20" t="s">
        <v>1831</v>
      </c>
      <c r="D270" s="39" t="s">
        <v>2041</v>
      </c>
      <c r="E270" s="16"/>
      <c r="F270" s="16" t="s">
        <v>181</v>
      </c>
      <c r="G270" s="20" t="s">
        <v>182</v>
      </c>
      <c r="H270" s="16" t="s">
        <v>332</v>
      </c>
      <c r="I270" s="21" t="s">
        <v>333</v>
      </c>
      <c r="J270" s="22">
        <v>249984000</v>
      </c>
      <c r="K270" s="23">
        <v>46023</v>
      </c>
      <c r="L270" s="23">
        <v>46089</v>
      </c>
      <c r="M270" s="16" t="s">
        <v>436</v>
      </c>
      <c r="N270" s="40" t="s">
        <v>2043</v>
      </c>
      <c r="O270" s="32" t="str">
        <f>IFERROR(VLOOKUP($G270,[1]DB2!$A:$B,2,0),"공동과책 확인")</f>
        <v>Kim, Hyunno</v>
      </c>
      <c r="P270" s="32" t="s">
        <v>1800</v>
      </c>
      <c r="Q270" s="32" t="s">
        <v>1797</v>
      </c>
      <c r="R270" s="32" t="str">
        <f>IFERROR(VLOOKUP($I270,[1]DB2!$F$2:$I$58,2,0),"옛날 부서명 확인")</f>
        <v xml:space="preserve">Green Economy Division </v>
      </c>
      <c r="S270" s="32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5"/>
      <c r="B271" s="20" t="s">
        <v>21</v>
      </c>
      <c r="C271" s="20" t="s">
        <v>1832</v>
      </c>
      <c r="D271" s="39" t="s">
        <v>1833</v>
      </c>
      <c r="E271" s="16"/>
      <c r="F271" s="16" t="s">
        <v>348</v>
      </c>
      <c r="G271" s="20" t="s">
        <v>349</v>
      </c>
      <c r="H271" s="16" t="s">
        <v>32</v>
      </c>
      <c r="I271" s="21" t="s">
        <v>27</v>
      </c>
      <c r="J271" s="22">
        <v>156300000</v>
      </c>
      <c r="K271" s="23">
        <v>46023</v>
      </c>
      <c r="L271" s="23">
        <v>46387</v>
      </c>
      <c r="M271" s="16" t="s">
        <v>350</v>
      </c>
      <c r="N271" s="40" t="s">
        <v>2045</v>
      </c>
      <c r="O271" s="32" t="str">
        <f>IFERROR(VLOOKUP($G271,[1]DB2!$A:$B,2,0),"공동과책 확인")</f>
        <v>Kim, Choong-ki</v>
      </c>
      <c r="P271" s="32" t="s">
        <v>2283</v>
      </c>
      <c r="Q271" s="32" t="s">
        <v>2257</v>
      </c>
      <c r="R271" s="32" t="str">
        <f>IFERROR(VLOOKUP($I271,[1]DB2!$F$2:$I$58,2,0),"옛날 부서명 확인")</f>
        <v xml:space="preserve">Natural Environment Division </v>
      </c>
      <c r="S271" s="32" t="str">
        <f>IFERROR(VLOOKUP($I271,[1]DB2!$F$2:$I$58,4,0),"옛날 부서명 확인")</f>
        <v xml:space="preserve">Land and Environment Research Group </v>
      </c>
    </row>
    <row r="272" spans="1:19" ht="18" customHeight="1">
      <c r="A272" s="15"/>
      <c r="B272" s="20" t="s">
        <v>21</v>
      </c>
      <c r="C272" s="20" t="s">
        <v>1834</v>
      </c>
      <c r="D272" s="39" t="s">
        <v>2083</v>
      </c>
      <c r="E272" s="16"/>
      <c r="F272" s="16" t="s">
        <v>353</v>
      </c>
      <c r="G272" s="20" t="s">
        <v>354</v>
      </c>
      <c r="H272" s="16" t="s">
        <v>297</v>
      </c>
      <c r="I272" s="21" t="s">
        <v>298</v>
      </c>
      <c r="J272" s="22">
        <v>174800000</v>
      </c>
      <c r="K272" s="23">
        <v>46023</v>
      </c>
      <c r="L272" s="23">
        <v>46387</v>
      </c>
      <c r="M272" s="16" t="s">
        <v>436</v>
      </c>
      <c r="N272" s="40" t="s">
        <v>2289</v>
      </c>
      <c r="O272" s="32" t="str">
        <f>IFERROR(VLOOKUP($G272,[1]DB2!$A:$B,2,0),"공동과책 확인")</f>
        <v>Song, Youngil</v>
      </c>
      <c r="P272" s="32" t="s">
        <v>1798</v>
      </c>
      <c r="Q272" s="32" t="s">
        <v>2257</v>
      </c>
      <c r="R272" s="32" t="str">
        <f>IFERROR(VLOOKUP($I272,[1]DB2!$F$2:$I$58,2,0),"옛날 부서명 확인")</f>
        <v xml:space="preserve">Climate Adaptation Policy Division </v>
      </c>
      <c r="S272" s="32" t="str">
        <f>IFERROR(VLOOKUP($I272,[1]DB2!$F$2:$I$58,4,0),"옛날 부서명 확인")</f>
        <v xml:space="preserve">Korea Adaptation Center for Climate Change </v>
      </c>
    </row>
    <row r="273" spans="1:19" ht="18" customHeight="1">
      <c r="A273" s="15"/>
      <c r="B273" s="20" t="s">
        <v>21</v>
      </c>
      <c r="C273" s="20" t="s">
        <v>1835</v>
      </c>
      <c r="D273" s="39" t="s">
        <v>1836</v>
      </c>
      <c r="E273" s="16"/>
      <c r="F273" s="16" t="s">
        <v>353</v>
      </c>
      <c r="G273" s="20" t="s">
        <v>354</v>
      </c>
      <c r="H273" s="16" t="s">
        <v>297</v>
      </c>
      <c r="I273" s="21" t="s">
        <v>298</v>
      </c>
      <c r="J273" s="22">
        <v>85000000</v>
      </c>
      <c r="K273" s="23">
        <v>46023</v>
      </c>
      <c r="L273" s="23">
        <v>46387</v>
      </c>
      <c r="M273" s="16" t="s">
        <v>436</v>
      </c>
      <c r="N273" s="40" t="s">
        <v>2047</v>
      </c>
      <c r="O273" s="32" t="str">
        <f>IFERROR(VLOOKUP($G273,[1]DB2!$A:$B,2,0),"공동과책 확인")</f>
        <v>Song, Youngil</v>
      </c>
      <c r="P273" s="32" t="s">
        <v>1798</v>
      </c>
      <c r="Q273" s="32" t="s">
        <v>2257</v>
      </c>
      <c r="R273" s="32" t="str">
        <f>IFERROR(VLOOKUP($I273,[1]DB2!$F$2:$I$58,2,0),"옛날 부서명 확인")</f>
        <v xml:space="preserve">Climate Adaptation Policy Division </v>
      </c>
      <c r="S273" s="32" t="str">
        <f>IFERROR(VLOOKUP($I273,[1]DB2!$F$2:$I$58,4,0),"옛날 부서명 확인")</f>
        <v xml:space="preserve">Korea Adaptation Center for Climate Change </v>
      </c>
    </row>
    <row r="274" spans="1:19" ht="18" customHeight="1">
      <c r="A274" s="15"/>
      <c r="B274" s="20" t="s">
        <v>21</v>
      </c>
      <c r="C274" s="20" t="s">
        <v>1837</v>
      </c>
      <c r="D274" s="39" t="s">
        <v>1838</v>
      </c>
      <c r="E274" s="16"/>
      <c r="F274" s="16" t="s">
        <v>361</v>
      </c>
      <c r="G274" s="20" t="s">
        <v>362</v>
      </c>
      <c r="H274" s="16" t="s">
        <v>198</v>
      </c>
      <c r="I274" s="21" t="s">
        <v>199</v>
      </c>
      <c r="J274" s="22">
        <v>89800000</v>
      </c>
      <c r="K274" s="23">
        <v>46023</v>
      </c>
      <c r="L274" s="23">
        <v>46387</v>
      </c>
      <c r="M274" s="16" t="s">
        <v>436</v>
      </c>
      <c r="N274" s="40" t="s">
        <v>2049</v>
      </c>
      <c r="O274" s="32" t="str">
        <f>IFERROR(VLOOKUP($G274,[1]DB2!$A:$B,2,0),"공동과책 확인")</f>
        <v>Ahn, Jongho</v>
      </c>
      <c r="P274" s="32" t="s">
        <v>1801</v>
      </c>
      <c r="Q274" s="32" t="s">
        <v>1798</v>
      </c>
      <c r="R274" s="32" t="str">
        <f>IFERROR(VLOOKUP($I274,[1]DB2!$F$2:$I$58,2,0),"옛날 부서명 확인")</f>
        <v xml:space="preserve">Water Management Division </v>
      </c>
      <c r="S274" s="32" t="str">
        <f>IFERROR(VLOOKUP($I274,[1]DB2!$F$2:$I$58,4,0),"옛날 부서명 확인")</f>
        <v xml:space="preserve">Land and Environment Research Group </v>
      </c>
    </row>
    <row r="275" spans="1:19" ht="18" customHeight="1">
      <c r="A275" s="15"/>
      <c r="B275" s="20" t="s">
        <v>21</v>
      </c>
      <c r="C275" s="20" t="s">
        <v>1839</v>
      </c>
      <c r="D275" s="39" t="s">
        <v>1840</v>
      </c>
      <c r="E275" s="16"/>
      <c r="F275" s="16" t="s">
        <v>325</v>
      </c>
      <c r="G275" s="20" t="s">
        <v>326</v>
      </c>
      <c r="H275" s="16" t="s">
        <v>593</v>
      </c>
      <c r="I275" s="21" t="s">
        <v>594</v>
      </c>
      <c r="J275" s="22">
        <v>355094048</v>
      </c>
      <c r="K275" s="23">
        <v>46023</v>
      </c>
      <c r="L275" s="23">
        <v>46387</v>
      </c>
      <c r="M275" s="16" t="s">
        <v>436</v>
      </c>
      <c r="N275" s="40" t="s">
        <v>2051</v>
      </c>
      <c r="O275" s="32" t="str">
        <f>IFERROR(VLOOKUP($G275,[1]DB2!$A:$B,2,0),"공동과책 확인")</f>
        <v>Chang, Hoon</v>
      </c>
      <c r="P275" s="32" t="s">
        <v>2255</v>
      </c>
      <c r="Q275" s="32" t="s">
        <v>2258</v>
      </c>
      <c r="R275" s="32" t="str">
        <f>IFERROR(VLOOKUP($I275,[1]DB2!$F$2:$I$58,2,0),"옛날 부서명 확인")</f>
        <v>Executive Office</v>
      </c>
      <c r="S275" s="32" t="str">
        <f>IFERROR(VLOOKUP($I275,[1]DB2!$F$2:$I$58,4,0),"옛날 부서명 확인")</f>
        <v>Executive Office</v>
      </c>
    </row>
    <row r="276" spans="1:19" ht="18" customHeight="1">
      <c r="A276" s="15"/>
      <c r="B276" s="20" t="s">
        <v>21</v>
      </c>
      <c r="C276" s="20" t="s">
        <v>1841</v>
      </c>
      <c r="D276" s="39" t="s">
        <v>1842</v>
      </c>
      <c r="E276" s="16"/>
      <c r="F276" s="16" t="s">
        <v>288</v>
      </c>
      <c r="G276" s="20" t="s">
        <v>289</v>
      </c>
      <c r="H276" s="16" t="s">
        <v>290</v>
      </c>
      <c r="I276" s="21" t="s">
        <v>291</v>
      </c>
      <c r="J276" s="22">
        <v>340000000</v>
      </c>
      <c r="K276" s="23">
        <v>46023</v>
      </c>
      <c r="L276" s="23">
        <v>46387</v>
      </c>
      <c r="M276" s="16" t="s">
        <v>436</v>
      </c>
      <c r="N276" s="40" t="s">
        <v>2053</v>
      </c>
      <c r="O276" s="32" t="str">
        <f>IFERROR(VLOOKUP($G276,[1]DB2!$A:$B,2,0),"공동과책 확인")</f>
        <v>Jung, Huicheul</v>
      </c>
      <c r="P276" s="32" t="s">
        <v>1798</v>
      </c>
      <c r="Q276" s="32" t="s">
        <v>2257</v>
      </c>
      <c r="R276" s="32" t="str">
        <f>IFERROR(VLOOKUP($I276,[1]DB2!$F$2:$I$58,2,0),"옛날 부서명 확인")</f>
        <v xml:space="preserve">Korea Adaptation Center for Climate Change </v>
      </c>
      <c r="S276" s="32" t="str">
        <f>IFERROR(VLOOKUP($I276,[1]DB2!$F$2:$I$58,4,0),"옛날 부서명 확인")</f>
        <v xml:space="preserve">Korea Adaptation Center for Climate Change </v>
      </c>
    </row>
    <row r="277" spans="1:19" ht="18" customHeight="1">
      <c r="A277" s="15"/>
      <c r="B277" s="20" t="s">
        <v>21</v>
      </c>
      <c r="C277" s="20" t="s">
        <v>1843</v>
      </c>
      <c r="D277" s="39" t="s">
        <v>1844</v>
      </c>
      <c r="E277" s="16"/>
      <c r="F277" s="16" t="s">
        <v>225</v>
      </c>
      <c r="G277" s="20" t="s">
        <v>226</v>
      </c>
      <c r="H277" s="16" t="s">
        <v>243</v>
      </c>
      <c r="I277" s="21" t="s">
        <v>147</v>
      </c>
      <c r="J277" s="22">
        <v>11000000</v>
      </c>
      <c r="K277" s="23">
        <v>46023</v>
      </c>
      <c r="L277" s="23">
        <v>46387</v>
      </c>
      <c r="M277" s="16" t="s">
        <v>436</v>
      </c>
      <c r="N277" s="40" t="s">
        <v>2055</v>
      </c>
      <c r="O277" s="32" t="str">
        <f>IFERROR(VLOOKUP($G277,[1]DB2!$A:$B,2,0),"공동과책 확인")</f>
        <v xml:space="preserve">Jung, Dawoon </v>
      </c>
      <c r="P277" s="32" t="s">
        <v>2281</v>
      </c>
      <c r="Q277" s="32" t="s">
        <v>2259</v>
      </c>
      <c r="R277" s="32" t="str">
        <f>IFERROR(VLOOKUP($I277,[1]DB2!$F$2:$I$58,2,0),"옛날 부서명 확인")</f>
        <v xml:space="preserve">Environmental Health Division </v>
      </c>
      <c r="S277" s="32" t="str">
        <f>IFERROR(VLOOKUP($I277,[1]DB2!$F$2:$I$58,4,0),"옛날 부서명 확인")</f>
        <v xml:space="preserve">Sustainable Development Research Group  </v>
      </c>
    </row>
    <row r="278" spans="1:19" ht="18" customHeight="1">
      <c r="A278" s="15"/>
      <c r="B278" s="20" t="s">
        <v>21</v>
      </c>
      <c r="C278" s="20" t="s">
        <v>1845</v>
      </c>
      <c r="D278" s="39" t="s">
        <v>1846</v>
      </c>
      <c r="E278" s="16"/>
      <c r="F278" s="16" t="s">
        <v>196</v>
      </c>
      <c r="G278" s="20" t="s">
        <v>197</v>
      </c>
      <c r="H278" s="16" t="s">
        <v>198</v>
      </c>
      <c r="I278" s="21" t="s">
        <v>199</v>
      </c>
      <c r="J278" s="22">
        <v>130000000</v>
      </c>
      <c r="K278" s="23">
        <v>46023</v>
      </c>
      <c r="L278" s="23">
        <v>46387</v>
      </c>
      <c r="M278" s="16" t="s">
        <v>436</v>
      </c>
      <c r="N278" s="40" t="s">
        <v>2292</v>
      </c>
      <c r="O278" s="32" t="str">
        <f>IFERROR(VLOOKUP($G278,[1]DB2!$A:$B,2,0),"공동과책 확인")</f>
        <v>Lee, Moonhwan</v>
      </c>
      <c r="P278" s="32" t="s">
        <v>1801</v>
      </c>
      <c r="Q278" s="32" t="s">
        <v>1800</v>
      </c>
      <c r="R278" s="32" t="str">
        <f>IFERROR(VLOOKUP($I278,[1]DB2!$F$2:$I$58,2,0),"옛날 부서명 확인")</f>
        <v xml:space="preserve">Water Management Division </v>
      </c>
      <c r="S278" s="32" t="str">
        <f>IFERROR(VLOOKUP($I278,[1]DB2!$F$2:$I$58,4,0),"옛날 부서명 확인")</f>
        <v xml:space="preserve">Land and Environment Research Group </v>
      </c>
    </row>
    <row r="279" spans="1:19" ht="18" customHeight="1">
      <c r="A279" s="15"/>
      <c r="B279" s="20" t="s">
        <v>21</v>
      </c>
      <c r="C279" s="20" t="s">
        <v>1847</v>
      </c>
      <c r="D279" s="39" t="s">
        <v>1848</v>
      </c>
      <c r="E279" s="16"/>
      <c r="F279" s="16" t="s">
        <v>110</v>
      </c>
      <c r="G279" s="20" t="s">
        <v>111</v>
      </c>
      <c r="H279" s="16" t="s">
        <v>32</v>
      </c>
      <c r="I279" s="21" t="s">
        <v>27</v>
      </c>
      <c r="J279" s="22">
        <v>125208000</v>
      </c>
      <c r="K279" s="23">
        <v>46023</v>
      </c>
      <c r="L279" s="23">
        <v>46387</v>
      </c>
      <c r="M279" s="16" t="s">
        <v>436</v>
      </c>
      <c r="N279" s="40" t="s">
        <v>2191</v>
      </c>
      <c r="O279" s="32" t="str">
        <f>IFERROR(VLOOKUP($G279,[1]DB2!$A:$B,2,0),"공동과책 확인")</f>
        <v>Myeong, Soojeong</v>
      </c>
      <c r="P279" s="32" t="s">
        <v>1797</v>
      </c>
      <c r="Q279" s="32" t="s">
        <v>1798</v>
      </c>
      <c r="R279" s="32" t="str">
        <f>IFERROR(VLOOKUP($I279,[1]DB2!$F$2:$I$58,2,0),"옛날 부서명 확인")</f>
        <v xml:space="preserve">Natural Environment Division </v>
      </c>
      <c r="S279" s="32" t="str">
        <f>IFERROR(VLOOKUP($I279,[1]DB2!$F$2:$I$58,4,0),"옛날 부서명 확인")</f>
        <v xml:space="preserve">Land and Environment Research Group </v>
      </c>
    </row>
    <row r="280" spans="1:19" ht="18" customHeight="1">
      <c r="A280" s="15"/>
      <c r="B280" s="20" t="s">
        <v>21</v>
      </c>
      <c r="C280" s="20" t="s">
        <v>1849</v>
      </c>
      <c r="D280" s="39" t="s">
        <v>1850</v>
      </c>
      <c r="E280" s="16"/>
      <c r="F280" s="16" t="s">
        <v>196</v>
      </c>
      <c r="G280" s="20" t="s">
        <v>197</v>
      </c>
      <c r="H280" s="16" t="s">
        <v>198</v>
      </c>
      <c r="I280" s="21" t="s">
        <v>199</v>
      </c>
      <c r="J280" s="22">
        <v>59000000</v>
      </c>
      <c r="K280" s="23">
        <v>46023</v>
      </c>
      <c r="L280" s="23">
        <v>46387</v>
      </c>
      <c r="M280" s="16" t="s">
        <v>387</v>
      </c>
      <c r="N280" s="40" t="s">
        <v>2293</v>
      </c>
      <c r="O280" s="32" t="str">
        <f>IFERROR(VLOOKUP($G280,[1]DB2!$A:$B,2,0),"공동과책 확인")</f>
        <v>Lee, Moonhwan</v>
      </c>
      <c r="P280" s="32" t="s">
        <v>1801</v>
      </c>
      <c r="Q280" s="32" t="s">
        <v>2257</v>
      </c>
      <c r="R280" s="32" t="str">
        <f>IFERROR(VLOOKUP($I280,[1]DB2!$F$2:$I$58,2,0),"옛날 부서명 확인")</f>
        <v xml:space="preserve">Water Management Division </v>
      </c>
      <c r="S280" s="32" t="str">
        <f>IFERROR(VLOOKUP($I280,[1]DB2!$F$2:$I$58,4,0),"옛날 부서명 확인")</f>
        <v xml:space="preserve">Land and Environment Research Group </v>
      </c>
    </row>
    <row r="281" spans="1:19" ht="18" customHeight="1">
      <c r="A281" s="15"/>
      <c r="B281" s="20" t="s">
        <v>21</v>
      </c>
      <c r="C281" s="20" t="s">
        <v>1851</v>
      </c>
      <c r="D281" s="39" t="s">
        <v>1852</v>
      </c>
      <c r="E281" s="16"/>
      <c r="F281" s="16" t="s">
        <v>110</v>
      </c>
      <c r="G281" s="20" t="s">
        <v>111</v>
      </c>
      <c r="H281" s="16" t="s">
        <v>32</v>
      </c>
      <c r="I281" s="21" t="s">
        <v>27</v>
      </c>
      <c r="J281" s="22">
        <v>186200000</v>
      </c>
      <c r="K281" s="23">
        <v>46023</v>
      </c>
      <c r="L281" s="23">
        <v>46387</v>
      </c>
      <c r="M281" s="16" t="s">
        <v>436</v>
      </c>
      <c r="N281" s="40" t="s">
        <v>2192</v>
      </c>
      <c r="O281" s="32" t="str">
        <f>IFERROR(VLOOKUP($G281,[1]DB2!$A:$B,2,0),"공동과책 확인")</f>
        <v>Myeong, Soojeong</v>
      </c>
      <c r="P281" s="32" t="s">
        <v>2255</v>
      </c>
      <c r="Q281" s="32" t="s">
        <v>1797</v>
      </c>
      <c r="R281" s="32" t="str">
        <f>IFERROR(VLOOKUP($I281,[1]DB2!$F$2:$I$58,2,0),"옛날 부서명 확인")</f>
        <v xml:space="preserve">Natural Environment Division </v>
      </c>
      <c r="S281" s="32" t="str">
        <f>IFERROR(VLOOKUP($I281,[1]DB2!$F$2:$I$58,4,0),"옛날 부서명 확인")</f>
        <v xml:space="preserve">Land and Environment Research Group </v>
      </c>
    </row>
    <row r="282" spans="1:19" ht="18" customHeight="1">
      <c r="A282" s="15"/>
      <c r="B282" s="20" t="s">
        <v>21</v>
      </c>
      <c r="C282" s="20" t="s">
        <v>1853</v>
      </c>
      <c r="D282" s="39" t="s">
        <v>1854</v>
      </c>
      <c r="E282" s="16"/>
      <c r="F282" s="16" t="s">
        <v>85</v>
      </c>
      <c r="G282" s="20" t="s">
        <v>86</v>
      </c>
      <c r="H282" s="16" t="s">
        <v>394</v>
      </c>
      <c r="I282" s="21" t="s">
        <v>395</v>
      </c>
      <c r="J282" s="22">
        <v>110000000</v>
      </c>
      <c r="K282" s="23">
        <v>46023</v>
      </c>
      <c r="L282" s="23">
        <v>46387</v>
      </c>
      <c r="M282" s="16" t="s">
        <v>350</v>
      </c>
      <c r="N282" s="40" t="s">
        <v>2193</v>
      </c>
      <c r="O282" s="32" t="str">
        <f>IFERROR(VLOOKUP($G282,[1]DB2!$A:$B,2,0),"공동과책 확인")</f>
        <v>Kim, Taeyun</v>
      </c>
      <c r="P282" s="32" t="s">
        <v>1796</v>
      </c>
      <c r="Q282" s="32" t="s">
        <v>2283</v>
      </c>
      <c r="R282" s="32" t="str">
        <f>IFERROR(VLOOKUP($I282,[1]DB2!$F$2:$I$58,2,0),"옛날 부서명 확인")</f>
        <v xml:space="preserve">Climate and Energy Assessment Division </v>
      </c>
      <c r="S282" s="32" t="str">
        <f>IFERROR(VLOOKUP($I282,[1]DB2!$F$2:$I$58,4,0),"옛날 부서명 확인")</f>
        <v xml:space="preserve">Environmental Assessment Group </v>
      </c>
    </row>
    <row r="283" spans="1:19" ht="18" customHeight="1">
      <c r="A283" s="15"/>
      <c r="B283" s="20" t="s">
        <v>21</v>
      </c>
      <c r="C283" s="20" t="s">
        <v>1855</v>
      </c>
      <c r="D283" s="39" t="s">
        <v>2194</v>
      </c>
      <c r="E283" s="16"/>
      <c r="F283" s="16" t="s">
        <v>399</v>
      </c>
      <c r="G283" s="20" t="s">
        <v>400</v>
      </c>
      <c r="H283" s="16" t="s">
        <v>343</v>
      </c>
      <c r="I283" s="21" t="s">
        <v>191</v>
      </c>
      <c r="J283" s="22">
        <v>36000000</v>
      </c>
      <c r="K283" s="23">
        <v>46023</v>
      </c>
      <c r="L283" s="23">
        <v>46387</v>
      </c>
      <c r="M283" s="16" t="s">
        <v>436</v>
      </c>
      <c r="N283" s="40" t="s">
        <v>2195</v>
      </c>
      <c r="O283" s="32" t="str">
        <f>IFERROR(VLOOKUP($G283,[1]DB2!$A:$B,2,0),"공동과책 확인")</f>
        <v>Lee, Seungmin</v>
      </c>
      <c r="P283" s="32" t="s">
        <v>2255</v>
      </c>
      <c r="Q283" s="32" t="s">
        <v>2257</v>
      </c>
      <c r="R283" s="32" t="str">
        <f>IFERROR(VLOOKUP($I283,[1]DB2!$F$2:$I$58,2,0),"옛날 부서명 확인")</f>
        <v>Atmospheric Environment Division</v>
      </c>
      <c r="S283" s="32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5"/>
      <c r="B284" s="20" t="s">
        <v>21</v>
      </c>
      <c r="C284" s="20" t="s">
        <v>1856</v>
      </c>
      <c r="D284" s="39" t="s">
        <v>1857</v>
      </c>
      <c r="E284" s="16"/>
      <c r="F284" s="16" t="s">
        <v>429</v>
      </c>
      <c r="G284" s="20" t="s">
        <v>430</v>
      </c>
      <c r="H284" s="16" t="s">
        <v>198</v>
      </c>
      <c r="I284" s="21" t="s">
        <v>199</v>
      </c>
      <c r="J284" s="22">
        <v>51600000</v>
      </c>
      <c r="K284" s="23">
        <v>46023</v>
      </c>
      <c r="L284" s="23">
        <v>46387</v>
      </c>
      <c r="M284" s="16" t="s">
        <v>436</v>
      </c>
      <c r="N284" s="40" t="s">
        <v>2196</v>
      </c>
      <c r="O284" s="32" t="str">
        <f>IFERROR(VLOOKUP($G284,[1]DB2!$A:$B,2,0),"공동과책 확인")</f>
        <v>Choi, Mikyoung</v>
      </c>
      <c r="P284" s="32" t="s">
        <v>1801</v>
      </c>
      <c r="Q284" s="32" t="s">
        <v>1797</v>
      </c>
      <c r="R284" s="32" t="str">
        <f>IFERROR(VLOOKUP($I284,[1]DB2!$F$2:$I$58,2,0),"옛날 부서명 확인")</f>
        <v xml:space="preserve">Water Management Division </v>
      </c>
      <c r="S284" s="32" t="str">
        <f>IFERROR(VLOOKUP($I284,[1]DB2!$F$2:$I$58,4,0),"옛날 부서명 확인")</f>
        <v xml:space="preserve">Land and Environment Research Group </v>
      </c>
    </row>
    <row r="285" spans="1:19" ht="18" customHeight="1">
      <c r="A285" s="15"/>
      <c r="B285" s="20" t="s">
        <v>21</v>
      </c>
      <c r="C285" s="20" t="s">
        <v>1858</v>
      </c>
      <c r="D285" s="39" t="s">
        <v>1859</v>
      </c>
      <c r="E285" s="16"/>
      <c r="F285" s="16" t="s">
        <v>175</v>
      </c>
      <c r="G285" s="20" t="s">
        <v>176</v>
      </c>
      <c r="H285" s="16" t="s">
        <v>434</v>
      </c>
      <c r="I285" s="21" t="s">
        <v>435</v>
      </c>
      <c r="J285" s="22">
        <v>16000000</v>
      </c>
      <c r="K285" s="23">
        <v>46023</v>
      </c>
      <c r="L285" s="23">
        <v>46387</v>
      </c>
      <c r="M285" s="16" t="s">
        <v>436</v>
      </c>
      <c r="N285" s="40" t="s">
        <v>2197</v>
      </c>
      <c r="O285" s="32" t="str">
        <f>IFERROR(VLOOKUP($G285,[1]DB2!$A:$B,2,0),"공동과책 확인")</f>
        <v>Kang, Hyeongsik</v>
      </c>
      <c r="P285" s="32" t="s">
        <v>1801</v>
      </c>
      <c r="Q285" s="32" t="s">
        <v>1798</v>
      </c>
      <c r="R285" s="32" t="str">
        <f>IFERROR(VLOOKUP($I285,[1]DB2!$F$2:$I$58,2,0),"옛날 부서명 확인")</f>
        <v xml:space="preserve">Land and Environment Research Group </v>
      </c>
      <c r="S285" s="32" t="str">
        <f>IFERROR(VLOOKUP($I285,[1]DB2!$F$2:$I$58,4,0),"옛날 부서명 확인")</f>
        <v xml:space="preserve">Land and Environment Research Group </v>
      </c>
    </row>
    <row r="286" spans="1:19" ht="18" customHeight="1">
      <c r="A286" s="15"/>
      <c r="B286" s="20" t="s">
        <v>21</v>
      </c>
      <c r="C286" s="20" t="s">
        <v>1860</v>
      </c>
      <c r="D286" s="39" t="s">
        <v>1861</v>
      </c>
      <c r="E286" s="16"/>
      <c r="F286" s="16" t="s">
        <v>110</v>
      </c>
      <c r="G286" s="20" t="s">
        <v>111</v>
      </c>
      <c r="H286" s="16" t="s">
        <v>32</v>
      </c>
      <c r="I286" s="21" t="s">
        <v>27</v>
      </c>
      <c r="J286" s="22">
        <v>53000000</v>
      </c>
      <c r="K286" s="23">
        <v>46023</v>
      </c>
      <c r="L286" s="23">
        <v>46387</v>
      </c>
      <c r="M286" s="16" t="s">
        <v>449</v>
      </c>
      <c r="N286" s="40" t="s">
        <v>2198</v>
      </c>
      <c r="O286" s="32" t="str">
        <f>IFERROR(VLOOKUP($G286,[1]DB2!$A:$B,2,0),"공동과책 확인")</f>
        <v>Myeong, Soojeong</v>
      </c>
      <c r="P286" s="32" t="s">
        <v>2255</v>
      </c>
      <c r="Q286" s="32" t="s">
        <v>1798</v>
      </c>
      <c r="R286" s="32" t="str">
        <f>IFERROR(VLOOKUP($I286,[1]DB2!$F$2:$I$58,2,0),"옛날 부서명 확인")</f>
        <v xml:space="preserve">Natural Environment Division </v>
      </c>
      <c r="S286" s="32" t="str">
        <f>IFERROR(VLOOKUP($I286,[1]DB2!$F$2:$I$58,4,0),"옛날 부서명 확인")</f>
        <v xml:space="preserve">Land and Environment Research Group </v>
      </c>
    </row>
    <row r="287" spans="1:19" ht="18" customHeight="1">
      <c r="A287" s="15"/>
      <c r="B287" s="20" t="s">
        <v>21</v>
      </c>
      <c r="C287" s="20" t="s">
        <v>1862</v>
      </c>
      <c r="D287" s="39" t="s">
        <v>1863</v>
      </c>
      <c r="E287" s="16"/>
      <c r="F287" s="16" t="s">
        <v>1864</v>
      </c>
      <c r="G287" s="20" t="s">
        <v>1865</v>
      </c>
      <c r="H287" s="16" t="s">
        <v>243</v>
      </c>
      <c r="I287" s="21" t="s">
        <v>147</v>
      </c>
      <c r="J287" s="22">
        <v>50000000</v>
      </c>
      <c r="K287" s="23">
        <v>46023</v>
      </c>
      <c r="L287" s="23">
        <v>46387</v>
      </c>
      <c r="M287" s="16" t="s">
        <v>350</v>
      </c>
      <c r="N287" s="40" t="s">
        <v>2199</v>
      </c>
      <c r="O287" s="32" t="str">
        <f>IFERROR(VLOOKUP($G287,[1]DB2!$A:$B,2,0),"공동과책 확인")</f>
        <v>Jeong, Yunsun</v>
      </c>
      <c r="P287" s="32" t="s">
        <v>2283</v>
      </c>
      <c r="Q287" s="32" t="s">
        <v>2281</v>
      </c>
      <c r="R287" s="32" t="str">
        <f>IFERROR(VLOOKUP($I287,[1]DB2!$F$2:$I$58,2,0),"옛날 부서명 확인")</f>
        <v xml:space="preserve">Environmental Health Division </v>
      </c>
      <c r="S287" s="32" t="str">
        <f>IFERROR(VLOOKUP($I287,[1]DB2!$F$2:$I$58,4,0),"옛날 부서명 확인")</f>
        <v xml:space="preserve">Sustainable Development Research Group  </v>
      </c>
    </row>
    <row r="288" spans="1:19" ht="18" customHeight="1">
      <c r="A288" s="15"/>
      <c r="B288" s="20" t="s">
        <v>21</v>
      </c>
      <c r="C288" s="20" t="s">
        <v>1866</v>
      </c>
      <c r="D288" s="39" t="s">
        <v>1867</v>
      </c>
      <c r="E288" s="16"/>
      <c r="F288" s="16" t="s">
        <v>51</v>
      </c>
      <c r="G288" s="20" t="s">
        <v>52</v>
      </c>
      <c r="H288" s="16" t="s">
        <v>32</v>
      </c>
      <c r="I288" s="21" t="s">
        <v>27</v>
      </c>
      <c r="J288" s="22">
        <v>12500000</v>
      </c>
      <c r="K288" s="23">
        <v>46023</v>
      </c>
      <c r="L288" s="23">
        <v>46387</v>
      </c>
      <c r="M288" s="16" t="s">
        <v>350</v>
      </c>
      <c r="N288" s="40" t="s">
        <v>2364</v>
      </c>
      <c r="O288" s="32" t="str">
        <f>IFERROR(VLOOKUP($G288,[1]DB2!$A:$B,2,0),"공동과책 확인")</f>
        <v xml:space="preserve">Koo, Kyung Ah </v>
      </c>
      <c r="P288" s="32" t="s">
        <v>1798</v>
      </c>
      <c r="Q288" s="32" t="s">
        <v>2283</v>
      </c>
      <c r="R288" s="32" t="str">
        <f>IFERROR(VLOOKUP($I288,[1]DB2!$F$2:$I$58,2,0),"옛날 부서명 확인")</f>
        <v xml:space="preserve">Natural Environment Division </v>
      </c>
      <c r="S288" s="32" t="str">
        <f>IFERROR(VLOOKUP($I288,[1]DB2!$F$2:$I$58,4,0),"옛날 부서명 확인")</f>
        <v xml:space="preserve">Land and Environment Research Group </v>
      </c>
    </row>
    <row r="289" spans="1:19" ht="18" customHeight="1">
      <c r="A289" s="15"/>
      <c r="B289" s="20" t="s">
        <v>21</v>
      </c>
      <c r="C289" s="20" t="s">
        <v>1868</v>
      </c>
      <c r="D289" s="39" t="s">
        <v>1869</v>
      </c>
      <c r="E289" s="16"/>
      <c r="F289" s="16" t="s">
        <v>181</v>
      </c>
      <c r="G289" s="20" t="s">
        <v>182</v>
      </c>
      <c r="H289" s="16" t="s">
        <v>332</v>
      </c>
      <c r="I289" s="21" t="s">
        <v>333</v>
      </c>
      <c r="J289" s="22">
        <v>270000000</v>
      </c>
      <c r="K289" s="23">
        <v>46023</v>
      </c>
      <c r="L289" s="23">
        <v>46387</v>
      </c>
      <c r="M289" s="16" t="s">
        <v>436</v>
      </c>
      <c r="N289" s="40" t="s">
        <v>2200</v>
      </c>
      <c r="O289" s="32" t="str">
        <f>IFERROR(VLOOKUP($G289,[1]DB2!$A:$B,2,0),"공동과책 확인")</f>
        <v>Kim, Hyunno</v>
      </c>
      <c r="P289" s="32" t="s">
        <v>1800</v>
      </c>
      <c r="Q289" s="32" t="s">
        <v>1797</v>
      </c>
      <c r="R289" s="32" t="str">
        <f>IFERROR(VLOOKUP($I289,[1]DB2!$F$2:$I$58,2,0),"옛날 부서명 확인")</f>
        <v xml:space="preserve">Green Economy Division </v>
      </c>
      <c r="S289" s="32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5"/>
      <c r="B290" s="20" t="s">
        <v>21</v>
      </c>
      <c r="C290" s="20" t="s">
        <v>1870</v>
      </c>
      <c r="D290" s="39" t="s">
        <v>1871</v>
      </c>
      <c r="E290" s="16"/>
      <c r="F290" s="16" t="s">
        <v>597</v>
      </c>
      <c r="G290" s="20" t="s">
        <v>598</v>
      </c>
      <c r="H290" s="16" t="s">
        <v>425</v>
      </c>
      <c r="I290" s="21" t="s">
        <v>124</v>
      </c>
      <c r="J290" s="22">
        <v>109000000</v>
      </c>
      <c r="K290" s="23">
        <v>46023</v>
      </c>
      <c r="L290" s="23">
        <v>46387</v>
      </c>
      <c r="M290" s="16" t="s">
        <v>436</v>
      </c>
      <c r="N290" s="40" t="s">
        <v>2201</v>
      </c>
      <c r="O290" s="32" t="str">
        <f>IFERROR(VLOOKUP($G290,[1]DB2!$A:$B,2,0),"공동과책 확인")</f>
        <v>Chae, Yeora</v>
      </c>
      <c r="P290" s="32" t="s">
        <v>1798</v>
      </c>
      <c r="Q290" s="32" t="s">
        <v>2158</v>
      </c>
      <c r="R290" s="32" t="str">
        <f>IFERROR(VLOOKUP($I290,[1]DB2!$F$2:$I$58,2,0),"옛날 부서명 확인")</f>
        <v xml:space="preserve">Carbon Neutrality Division </v>
      </c>
      <c r="S290" s="32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5"/>
      <c r="B291" s="20" t="s">
        <v>21</v>
      </c>
      <c r="C291" s="20" t="s">
        <v>1872</v>
      </c>
      <c r="D291" s="39" t="s">
        <v>1873</v>
      </c>
      <c r="E291" s="16"/>
      <c r="F291" s="16" t="s">
        <v>470</v>
      </c>
      <c r="G291" s="20" t="s">
        <v>471</v>
      </c>
      <c r="H291" s="16" t="s">
        <v>297</v>
      </c>
      <c r="I291" s="21" t="s">
        <v>298</v>
      </c>
      <c r="J291" s="22">
        <v>22400000</v>
      </c>
      <c r="K291" s="23">
        <v>46023</v>
      </c>
      <c r="L291" s="23">
        <v>46387</v>
      </c>
      <c r="M291" s="16" t="s">
        <v>387</v>
      </c>
      <c r="N291" s="40" t="s">
        <v>2202</v>
      </c>
      <c r="O291" s="32" t="str">
        <f>IFERROR(VLOOKUP($G291,[1]DB2!$A:$B,2,0),"공동과책 확인")</f>
        <v xml:space="preserve">Song, Jiyoon </v>
      </c>
      <c r="P291" s="32" t="s">
        <v>2256</v>
      </c>
      <c r="Q291" s="32" t="s">
        <v>2255</v>
      </c>
      <c r="R291" s="32" t="str">
        <f>IFERROR(VLOOKUP($I291,[1]DB2!$F$2:$I$58,2,0),"옛날 부서명 확인")</f>
        <v xml:space="preserve">Climate Adaptation Policy Division </v>
      </c>
      <c r="S291" s="32" t="str">
        <f>IFERROR(VLOOKUP($I291,[1]DB2!$F$2:$I$58,4,0),"옛날 부서명 확인")</f>
        <v xml:space="preserve">Korea Adaptation Center for Climate Change </v>
      </c>
    </row>
    <row r="292" spans="1:19" ht="18" customHeight="1">
      <c r="A292" s="15"/>
      <c r="B292" s="20" t="s">
        <v>21</v>
      </c>
      <c r="C292" s="20" t="s">
        <v>1874</v>
      </c>
      <c r="D292" s="39" t="s">
        <v>1875</v>
      </c>
      <c r="E292" s="16"/>
      <c r="F292" s="16" t="s">
        <v>315</v>
      </c>
      <c r="G292" s="20" t="s">
        <v>316</v>
      </c>
      <c r="H292" s="16" t="s">
        <v>198</v>
      </c>
      <c r="I292" s="21" t="s">
        <v>199</v>
      </c>
      <c r="J292" s="22">
        <v>3200000</v>
      </c>
      <c r="K292" s="23">
        <v>46023</v>
      </c>
      <c r="L292" s="23">
        <v>46387</v>
      </c>
      <c r="M292" s="16" t="s">
        <v>387</v>
      </c>
      <c r="N292" s="40" t="s">
        <v>2203</v>
      </c>
      <c r="O292" s="32" t="str">
        <f>IFERROR(VLOOKUP($G292,[1]DB2!$A:$B,2,0),"공동과책 확인")</f>
        <v xml:space="preserve">Lee, Seungsoo </v>
      </c>
      <c r="P292" s="32" t="s">
        <v>1801</v>
      </c>
      <c r="Q292" s="32"/>
      <c r="R292" s="32" t="str">
        <f>IFERROR(VLOOKUP($I292,[1]DB2!$F$2:$I$58,2,0),"옛날 부서명 확인")</f>
        <v xml:space="preserve">Water Management Division </v>
      </c>
      <c r="S292" s="32" t="str">
        <f>IFERROR(VLOOKUP($I292,[1]DB2!$F$2:$I$58,4,0),"옛날 부서명 확인")</f>
        <v xml:space="preserve">Land and Environment Research Group </v>
      </c>
    </row>
    <row r="293" spans="1:19" ht="18" customHeight="1">
      <c r="A293" s="15"/>
      <c r="B293" s="20" t="s">
        <v>21</v>
      </c>
      <c r="C293" s="20" t="s">
        <v>1876</v>
      </c>
      <c r="D293" s="39" t="s">
        <v>1877</v>
      </c>
      <c r="E293" s="16"/>
      <c r="F293" s="16" t="s">
        <v>341</v>
      </c>
      <c r="G293" s="20" t="s">
        <v>523</v>
      </c>
      <c r="H293" s="16" t="s">
        <v>343</v>
      </c>
      <c r="I293" s="21" t="s">
        <v>191</v>
      </c>
      <c r="J293" s="22">
        <v>100000000</v>
      </c>
      <c r="K293" s="23">
        <v>46023</v>
      </c>
      <c r="L293" s="23">
        <v>46387</v>
      </c>
      <c r="M293" s="16" t="s">
        <v>436</v>
      </c>
      <c r="N293" s="40" t="s">
        <v>2204</v>
      </c>
      <c r="O293" s="32" t="str">
        <f>IFERROR(VLOOKUP($G293,[1]DB2!$A:$B,2,0),"공동과책 확인")</f>
        <v xml:space="preserve">Han, Jihyun </v>
      </c>
      <c r="P293" s="32" t="s">
        <v>2255</v>
      </c>
      <c r="Q293" s="32" t="s">
        <v>2258</v>
      </c>
      <c r="R293" s="32" t="str">
        <f>IFERROR(VLOOKUP($I293,[1]DB2!$F$2:$I$58,2,0),"옛날 부서명 확인")</f>
        <v>Atmospheric Environment Division</v>
      </c>
      <c r="S293" s="32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5"/>
      <c r="B294" s="20" t="s">
        <v>21</v>
      </c>
      <c r="C294" s="20" t="s">
        <v>1878</v>
      </c>
      <c r="D294" s="39" t="s">
        <v>1879</v>
      </c>
      <c r="E294" s="16"/>
      <c r="F294" s="16" t="s">
        <v>373</v>
      </c>
      <c r="G294" s="20" t="s">
        <v>374</v>
      </c>
      <c r="H294" s="16" t="s">
        <v>208</v>
      </c>
      <c r="I294" s="21" t="s">
        <v>209</v>
      </c>
      <c r="J294" s="22">
        <v>200000000</v>
      </c>
      <c r="K294" s="23">
        <v>46023</v>
      </c>
      <c r="L294" s="23">
        <v>46387</v>
      </c>
      <c r="M294" s="16" t="s">
        <v>375</v>
      </c>
      <c r="N294" s="40" t="s">
        <v>2205</v>
      </c>
      <c r="O294" s="32" t="str">
        <f>IFERROR(VLOOKUP($G294,[1]DB2!$A:$B,2,0),"공동과책 확인")</f>
        <v xml:space="preserve">Kim, Geunhan </v>
      </c>
      <c r="P294" s="32" t="s">
        <v>2255</v>
      </c>
      <c r="Q294" s="32" t="s">
        <v>2256</v>
      </c>
      <c r="R294" s="32" t="str">
        <f>IFERROR(VLOOKUP($I294,[1]DB2!$F$2:$I$58,2,0),"옛날 부서명 확인")</f>
        <v>Spatial Planning and Management Division</v>
      </c>
      <c r="S294" s="32" t="str">
        <f>IFERROR(VLOOKUP($I294,[1]DB2!$F$2:$I$58,4,0),"옛날 부서명 확인")</f>
        <v xml:space="preserve">Land and Environment Research Group </v>
      </c>
    </row>
    <row r="295" spans="1:19" ht="18" customHeight="1">
      <c r="A295" s="15"/>
      <c r="B295" s="20" t="s">
        <v>21</v>
      </c>
      <c r="C295" s="20" t="s">
        <v>1880</v>
      </c>
      <c r="D295" s="39" t="s">
        <v>1881</v>
      </c>
      <c r="E295" s="16"/>
      <c r="F295" s="16" t="s">
        <v>56</v>
      </c>
      <c r="G295" s="20" t="s">
        <v>57</v>
      </c>
      <c r="H295" s="16" t="s">
        <v>408</v>
      </c>
      <c r="I295" s="21" t="s">
        <v>409</v>
      </c>
      <c r="J295" s="22">
        <v>210000000</v>
      </c>
      <c r="K295" s="23">
        <v>46023</v>
      </c>
      <c r="L295" s="23">
        <v>46387</v>
      </c>
      <c r="M295" s="16" t="s">
        <v>59</v>
      </c>
      <c r="N295" s="40" t="s">
        <v>2365</v>
      </c>
      <c r="O295" s="32" t="str">
        <f>IFERROR(VLOOKUP($G295,[1]DB2!$A:$B,2,0),"공동과책 확인")</f>
        <v>Choi, Yuyoung</v>
      </c>
      <c r="P295" s="32" t="s">
        <v>2257</v>
      </c>
      <c r="Q295" s="32" t="s">
        <v>1797</v>
      </c>
      <c r="R295" s="32" t="str">
        <f>IFERROR(VLOOKUP($I295,[1]DB2!$F$2:$I$58,2,0),"옛날 부서명 확인")</f>
        <v xml:space="preserve">Land Strategy Assessment Division </v>
      </c>
      <c r="S295" s="32" t="str">
        <f>IFERROR(VLOOKUP($I295,[1]DB2!$F$2:$I$58,4,0),"옛날 부서명 확인")</f>
        <v xml:space="preserve">Environmental Assessment Group </v>
      </c>
    </row>
    <row r="296" spans="1:19" ht="18" customHeight="1">
      <c r="A296" s="15"/>
      <c r="B296" s="20" t="s">
        <v>21</v>
      </c>
      <c r="C296" s="20" t="s">
        <v>1882</v>
      </c>
      <c r="D296" s="39" t="s">
        <v>1883</v>
      </c>
      <c r="E296" s="16"/>
      <c r="F296" s="16" t="s">
        <v>373</v>
      </c>
      <c r="G296" s="20" t="s">
        <v>374</v>
      </c>
      <c r="H296" s="16" t="s">
        <v>208</v>
      </c>
      <c r="I296" s="21" t="s">
        <v>209</v>
      </c>
      <c r="J296" s="22">
        <v>144900000</v>
      </c>
      <c r="K296" s="23">
        <v>46023</v>
      </c>
      <c r="L296" s="23">
        <v>46387</v>
      </c>
      <c r="M296" s="16" t="s">
        <v>543</v>
      </c>
      <c r="N296" s="40" t="s">
        <v>2206</v>
      </c>
      <c r="O296" s="32" t="str">
        <f>IFERROR(VLOOKUP($G296,[1]DB2!$A:$B,2,0),"공동과책 확인")</f>
        <v xml:space="preserve">Kim, Geunhan </v>
      </c>
      <c r="P296" s="32" t="s">
        <v>2256</v>
      </c>
      <c r="Q296" s="32" t="s">
        <v>2257</v>
      </c>
      <c r="R296" s="32" t="str">
        <f>IFERROR(VLOOKUP($I296,[1]DB2!$F$2:$I$58,2,0),"옛날 부서명 확인")</f>
        <v>Spatial Planning and Management Division</v>
      </c>
      <c r="S296" s="32" t="str">
        <f>IFERROR(VLOOKUP($I296,[1]DB2!$F$2:$I$58,4,0),"옛날 부서명 확인")</f>
        <v xml:space="preserve">Land and Environment Research Group </v>
      </c>
    </row>
    <row r="297" spans="1:19" ht="18" customHeight="1">
      <c r="A297" s="15"/>
      <c r="B297" s="20" t="s">
        <v>21</v>
      </c>
      <c r="C297" s="20" t="s">
        <v>1884</v>
      </c>
      <c r="D297" s="39" t="s">
        <v>1885</v>
      </c>
      <c r="E297" s="16"/>
      <c r="F297" s="16" t="s">
        <v>315</v>
      </c>
      <c r="G297" s="20" t="s">
        <v>316</v>
      </c>
      <c r="H297" s="16" t="s">
        <v>198</v>
      </c>
      <c r="I297" s="21" t="s">
        <v>199</v>
      </c>
      <c r="J297" s="22">
        <v>200000000</v>
      </c>
      <c r="K297" s="23">
        <v>46023</v>
      </c>
      <c r="L297" s="23">
        <v>46387</v>
      </c>
      <c r="M297" s="16" t="s">
        <v>649</v>
      </c>
      <c r="N297" s="40" t="s">
        <v>2207</v>
      </c>
      <c r="O297" s="32" t="str">
        <f>IFERROR(VLOOKUP($G297,[1]DB2!$A:$B,2,0),"공동과책 확인")</f>
        <v xml:space="preserve">Lee, Seungsoo </v>
      </c>
      <c r="P297" s="32" t="s">
        <v>1801</v>
      </c>
      <c r="Q297" s="32"/>
      <c r="R297" s="32" t="str">
        <f>IFERROR(VLOOKUP($I297,[1]DB2!$F$2:$I$58,2,0),"옛날 부서명 확인")</f>
        <v xml:space="preserve">Water Management Division </v>
      </c>
      <c r="S297" s="32" t="str">
        <f>IFERROR(VLOOKUP($I297,[1]DB2!$F$2:$I$58,4,0),"옛날 부서명 확인")</f>
        <v xml:space="preserve">Land and Environment Research Group </v>
      </c>
    </row>
    <row r="298" spans="1:19" ht="18" customHeight="1">
      <c r="A298" s="15"/>
      <c r="B298" s="20" t="s">
        <v>21</v>
      </c>
      <c r="C298" s="20" t="s">
        <v>1889</v>
      </c>
      <c r="D298" s="39" t="s">
        <v>1890</v>
      </c>
      <c r="E298" s="16"/>
      <c r="F298" s="16" t="s">
        <v>97</v>
      </c>
      <c r="G298" s="20" t="s">
        <v>98</v>
      </c>
      <c r="H298" s="16" t="s">
        <v>332</v>
      </c>
      <c r="I298" s="21" t="s">
        <v>333</v>
      </c>
      <c r="J298" s="22">
        <v>90909090</v>
      </c>
      <c r="K298" s="23">
        <v>46023</v>
      </c>
      <c r="L298" s="23">
        <v>46387</v>
      </c>
      <c r="M298" s="16" t="s">
        <v>618</v>
      </c>
      <c r="N298" s="40" t="s">
        <v>2057</v>
      </c>
      <c r="O298" s="32" t="str">
        <f>IFERROR(VLOOKUP($G298,[1]DB2!$A:$B,2,0),"공동과책 확인")</f>
        <v>Kang, Sungwon</v>
      </c>
      <c r="P298" s="32" t="s">
        <v>2281</v>
      </c>
      <c r="Q298" s="32" t="s">
        <v>1799</v>
      </c>
      <c r="R298" s="32" t="str">
        <f>IFERROR(VLOOKUP($I298,[1]DB2!$F$2:$I$58,2,0),"옛날 부서명 확인")</f>
        <v xml:space="preserve">Green Economy Division </v>
      </c>
      <c r="S298" s="32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5"/>
      <c r="B299" s="20" t="s">
        <v>21</v>
      </c>
      <c r="C299" s="20" t="s">
        <v>1891</v>
      </c>
      <c r="D299" s="39" t="s">
        <v>2493</v>
      </c>
      <c r="E299" s="16"/>
      <c r="F299" s="16" t="s">
        <v>641</v>
      </c>
      <c r="G299" s="20" t="s">
        <v>642</v>
      </c>
      <c r="H299" s="16" t="s">
        <v>198</v>
      </c>
      <c r="I299" s="21" t="s">
        <v>199</v>
      </c>
      <c r="J299" s="22">
        <v>18303000</v>
      </c>
      <c r="K299" s="23">
        <v>46023</v>
      </c>
      <c r="L299" s="23">
        <v>46387</v>
      </c>
      <c r="M299" s="16" t="s">
        <v>436</v>
      </c>
      <c r="N299" s="40" t="s">
        <v>2494</v>
      </c>
      <c r="O299" s="32" t="str">
        <f>IFERROR(VLOOKUP($G299,[1]DB2!$A:$B,2,0),"공동과책 확인")</f>
        <v>Hyun, Yunjung</v>
      </c>
      <c r="P299" s="32" t="s">
        <v>1801</v>
      </c>
      <c r="Q299" s="32" t="s">
        <v>1798</v>
      </c>
      <c r="R299" s="32" t="str">
        <f>IFERROR(VLOOKUP($I299,[1]DB2!$F$2:$I$58,2,0),"옛날 부서명 확인")</f>
        <v xml:space="preserve">Water Management Division </v>
      </c>
      <c r="S299" s="32" t="str">
        <f>IFERROR(VLOOKUP($I299,[1]DB2!$F$2:$I$58,4,0),"옛날 부서명 확인")</f>
        <v xml:space="preserve">Land and Environment Research Group </v>
      </c>
    </row>
    <row r="300" spans="1:19" ht="18" customHeight="1">
      <c r="A300" s="15"/>
      <c r="B300" s="20" t="s">
        <v>21</v>
      </c>
      <c r="C300" s="20" t="s">
        <v>1892</v>
      </c>
      <c r="D300" s="39" t="s">
        <v>1893</v>
      </c>
      <c r="E300" s="16"/>
      <c r="F300" s="16" t="s">
        <v>241</v>
      </c>
      <c r="G300" s="20" t="s">
        <v>242</v>
      </c>
      <c r="H300" s="16" t="s">
        <v>243</v>
      </c>
      <c r="I300" s="21" t="s">
        <v>147</v>
      </c>
      <c r="J300" s="22">
        <v>263000000</v>
      </c>
      <c r="K300" s="23">
        <v>46023</v>
      </c>
      <c r="L300" s="23">
        <v>46387</v>
      </c>
      <c r="M300" s="16" t="s">
        <v>1818</v>
      </c>
      <c r="N300" s="40" t="s">
        <v>2208</v>
      </c>
      <c r="O300" s="32" t="str">
        <f>IFERROR(VLOOKUP($G300,[1]DB2!$A:$B,2,0),"공동과책 확인")</f>
        <v>Bae, Hyun-Joo</v>
      </c>
      <c r="P300" s="32" t="s">
        <v>2281</v>
      </c>
      <c r="Q300" s="32" t="s">
        <v>2257</v>
      </c>
      <c r="R300" s="32" t="str">
        <f>IFERROR(VLOOKUP($I300,[1]DB2!$F$2:$I$58,2,0),"옛날 부서명 확인")</f>
        <v xml:space="preserve">Environmental Health Division </v>
      </c>
      <c r="S300" s="32" t="str">
        <f>IFERROR(VLOOKUP($I300,[1]DB2!$F$2:$I$58,4,0),"옛날 부서명 확인")</f>
        <v xml:space="preserve">Sustainable Development Research Group  </v>
      </c>
    </row>
    <row r="301" spans="1:19" ht="18" customHeight="1">
      <c r="A301" s="15"/>
      <c r="B301" s="20" t="s">
        <v>797</v>
      </c>
      <c r="C301" s="20" t="s">
        <v>1907</v>
      </c>
      <c r="D301" s="39" t="s">
        <v>799</v>
      </c>
      <c r="E301" s="16"/>
      <c r="F301" s="16" t="s">
        <v>800</v>
      </c>
      <c r="G301" s="20" t="s">
        <v>801</v>
      </c>
      <c r="H301" s="16" t="s">
        <v>787</v>
      </c>
      <c r="I301" s="21" t="s">
        <v>788</v>
      </c>
      <c r="J301" s="22">
        <v>39000000</v>
      </c>
      <c r="K301" s="23">
        <v>46023</v>
      </c>
      <c r="L301" s="23">
        <v>46387</v>
      </c>
      <c r="M301" s="16"/>
      <c r="N301" s="40" t="s">
        <v>2317</v>
      </c>
      <c r="O301" s="32" t="str">
        <f>IFERROR(VLOOKUP($G301,[1]DB2!$A:$B,2,0),"공동과책 확인")</f>
        <v>Park, Jun Hyun</v>
      </c>
      <c r="P301" s="32" t="s">
        <v>2258</v>
      </c>
      <c r="Q301" s="32"/>
      <c r="R301" s="32" t="str">
        <f>IFERROR(VLOOKUP($I301,[1]DB2!$F$2:$I$58,2,0),"옛날 부서명 확인")</f>
        <v>Global Cooperation Team</v>
      </c>
      <c r="S301" s="32" t="str">
        <f>IFERROR(VLOOKUP($I301,[1]DB2!$F$2:$I$58,4,0),"옛날 부서명 확인")</f>
        <v xml:space="preserve">Department of Planning and Strategy </v>
      </c>
    </row>
    <row r="302" spans="1:19" ht="18" customHeight="1">
      <c r="A302" s="15"/>
      <c r="B302" s="20" t="s">
        <v>797</v>
      </c>
      <c r="C302" s="20" t="s">
        <v>1908</v>
      </c>
      <c r="D302" s="39" t="s">
        <v>804</v>
      </c>
      <c r="E302" s="16"/>
      <c r="F302" s="16" t="s">
        <v>206</v>
      </c>
      <c r="G302" s="20" t="s">
        <v>321</v>
      </c>
      <c r="H302" s="16" t="s">
        <v>208</v>
      </c>
      <c r="I302" s="21" t="s">
        <v>209</v>
      </c>
      <c r="J302" s="22">
        <v>88000000</v>
      </c>
      <c r="K302" s="23">
        <v>46023</v>
      </c>
      <c r="L302" s="23">
        <v>46387</v>
      </c>
      <c r="M302" s="16"/>
      <c r="N302" s="40" t="s">
        <v>2209</v>
      </c>
      <c r="O302" s="32" t="str">
        <f>IFERROR(VLOOKUP($G302,[1]DB2!$A:$B,2,0),"공동과책 확인")</f>
        <v>Yoon, Jeongho</v>
      </c>
      <c r="P302" s="32" t="s">
        <v>2256</v>
      </c>
      <c r="Q302" s="32" t="s">
        <v>2257</v>
      </c>
      <c r="R302" s="32" t="str">
        <f>IFERROR(VLOOKUP($I302,[1]DB2!$F$2:$I$58,2,0),"옛날 부서명 확인")</f>
        <v>Spatial Planning and Management Division</v>
      </c>
      <c r="S302" s="32" t="str">
        <f>IFERROR(VLOOKUP($I302,[1]DB2!$F$2:$I$58,4,0),"옛날 부서명 확인")</f>
        <v xml:space="preserve">Land and Environment Research Group </v>
      </c>
    </row>
    <row r="303" spans="1:19" ht="18" customHeight="1">
      <c r="A303" s="15"/>
      <c r="B303" s="20" t="s">
        <v>797</v>
      </c>
      <c r="C303" s="20" t="s">
        <v>1909</v>
      </c>
      <c r="D303" s="39" t="s">
        <v>807</v>
      </c>
      <c r="E303" s="16"/>
      <c r="F303" s="16" t="s">
        <v>966</v>
      </c>
      <c r="G303" s="20" t="s">
        <v>967</v>
      </c>
      <c r="H303" s="16" t="s">
        <v>38</v>
      </c>
      <c r="I303" s="21" t="s">
        <v>39</v>
      </c>
      <c r="J303" s="22">
        <v>200000000</v>
      </c>
      <c r="K303" s="23">
        <v>46023</v>
      </c>
      <c r="L303" s="23">
        <v>46387</v>
      </c>
      <c r="M303" s="16"/>
      <c r="N303" s="40" t="s">
        <v>2366</v>
      </c>
      <c r="O303" s="32" t="str">
        <f>IFERROR(VLOOKUP($G303,[1]DB2!$A:$B,2,0),"공동과책 확인")</f>
        <v>Kim, Dokyun</v>
      </c>
      <c r="P303" s="32" t="s">
        <v>2158</v>
      </c>
      <c r="Q303" s="32" t="s">
        <v>2257</v>
      </c>
      <c r="R303" s="32" t="str">
        <f>IFERROR(VLOOKUP($I303,[1]DB2!$F$2:$I$58,2,0),"옛날 부서명 확인")</f>
        <v xml:space="preserve">Living Environment and Society Division </v>
      </c>
      <c r="S303" s="32" t="str">
        <f>IFERROR(VLOOKUP($I303,[1]DB2!$F$2:$I$58,4,0),"옛날 부서명 확인")</f>
        <v xml:space="preserve">Sustainable Development Research Group  </v>
      </c>
    </row>
    <row r="304" spans="1:19" ht="18" customHeight="1">
      <c r="A304" s="15"/>
      <c r="B304" s="20" t="s">
        <v>797</v>
      </c>
      <c r="C304" s="20" t="s">
        <v>1910</v>
      </c>
      <c r="D304" s="39" t="s">
        <v>810</v>
      </c>
      <c r="E304" s="16"/>
      <c r="F304" s="16" t="s">
        <v>288</v>
      </c>
      <c r="G304" s="20" t="s">
        <v>289</v>
      </c>
      <c r="H304" s="16" t="s">
        <v>290</v>
      </c>
      <c r="I304" s="21" t="s">
        <v>291</v>
      </c>
      <c r="J304" s="22">
        <v>70000000</v>
      </c>
      <c r="K304" s="23">
        <v>46023</v>
      </c>
      <c r="L304" s="23">
        <v>46387</v>
      </c>
      <c r="M304" s="16"/>
      <c r="N304" s="40" t="s">
        <v>2210</v>
      </c>
      <c r="O304" s="32" t="str">
        <f>IFERROR(VLOOKUP($G304,[1]DB2!$A:$B,2,0),"공동과책 확인")</f>
        <v>Jung, Huicheul</v>
      </c>
      <c r="P304" s="32" t="s">
        <v>1798</v>
      </c>
      <c r="Q304" s="32"/>
      <c r="R304" s="32" t="str">
        <f>IFERROR(VLOOKUP($I304,[1]DB2!$F$2:$I$58,2,0),"옛날 부서명 확인")</f>
        <v xml:space="preserve">Korea Adaptation Center for Climate Change </v>
      </c>
      <c r="S304" s="32" t="str">
        <f>IFERROR(VLOOKUP($I304,[1]DB2!$F$2:$I$58,4,0),"옛날 부서명 확인")</f>
        <v xml:space="preserve">Korea Adaptation Center for Climate Change </v>
      </c>
    </row>
    <row r="305" spans="1:19" ht="18" customHeight="1">
      <c r="A305" s="15"/>
      <c r="B305" s="20" t="s">
        <v>797</v>
      </c>
      <c r="C305" s="20" t="s">
        <v>1911</v>
      </c>
      <c r="D305" s="39" t="s">
        <v>813</v>
      </c>
      <c r="E305" s="16"/>
      <c r="F305" s="16" t="s">
        <v>484</v>
      </c>
      <c r="G305" s="20" t="s">
        <v>485</v>
      </c>
      <c r="H305" s="16" t="s">
        <v>486</v>
      </c>
      <c r="I305" s="21" t="s">
        <v>487</v>
      </c>
      <c r="J305" s="22">
        <v>248000000</v>
      </c>
      <c r="K305" s="23">
        <v>46023</v>
      </c>
      <c r="L305" s="23">
        <v>46387</v>
      </c>
      <c r="M305" s="16"/>
      <c r="N305" s="40" t="s">
        <v>2211</v>
      </c>
      <c r="O305" s="32" t="str">
        <f>IFERROR(VLOOKUP($G305,[1]DB2!$A:$B,2,0),"공동과책 확인")</f>
        <v>Lee, Sangbum</v>
      </c>
      <c r="P305" s="32" t="s">
        <v>1796</v>
      </c>
      <c r="Q305" s="32"/>
      <c r="R305" s="32" t="str">
        <f>IFERROR(VLOOKUP($I305,[1]DB2!$F$2:$I$58,2,0),"옛날 부서명 확인")</f>
        <v xml:space="preserve">Environmental Assessment Group </v>
      </c>
      <c r="S305" s="32" t="str">
        <f>IFERROR(VLOOKUP($I305,[1]DB2!$F$2:$I$58,4,0),"옛날 부서명 확인")</f>
        <v xml:space="preserve">Environmental Assessment Group </v>
      </c>
    </row>
    <row r="306" spans="1:19" ht="18" customHeight="1">
      <c r="A306" s="15"/>
      <c r="B306" s="20" t="s">
        <v>797</v>
      </c>
      <c r="C306" s="20" t="s">
        <v>1912</v>
      </c>
      <c r="D306" s="39" t="s">
        <v>815</v>
      </c>
      <c r="E306" s="16"/>
      <c r="F306" s="16" t="s">
        <v>484</v>
      </c>
      <c r="G306" s="20" t="s">
        <v>485</v>
      </c>
      <c r="H306" s="16" t="s">
        <v>486</v>
      </c>
      <c r="I306" s="21" t="s">
        <v>487</v>
      </c>
      <c r="J306" s="22">
        <v>259000000</v>
      </c>
      <c r="K306" s="23">
        <v>46023</v>
      </c>
      <c r="L306" s="23">
        <v>46387</v>
      </c>
      <c r="M306" s="16"/>
      <c r="N306" s="40" t="s">
        <v>2212</v>
      </c>
      <c r="O306" s="32" t="str">
        <f>IFERROR(VLOOKUP($G306,[1]DB2!$A:$B,2,0),"공동과책 확인")</f>
        <v>Lee, Sangbum</v>
      </c>
      <c r="P306" s="32" t="s">
        <v>1796</v>
      </c>
      <c r="Q306" s="32" t="s">
        <v>1798</v>
      </c>
      <c r="R306" s="32" t="str">
        <f>IFERROR(VLOOKUP($I306,[1]DB2!$F$2:$I$58,2,0),"옛날 부서명 확인")</f>
        <v xml:space="preserve">Environmental Assessment Group </v>
      </c>
      <c r="S306" s="32" t="str">
        <f>IFERROR(VLOOKUP($I306,[1]DB2!$F$2:$I$58,4,0),"옛날 부서명 확인")</f>
        <v xml:space="preserve">Environmental Assessment Group </v>
      </c>
    </row>
    <row r="307" spans="1:19" ht="18" customHeight="1">
      <c r="A307" s="15"/>
      <c r="B307" s="20" t="s">
        <v>797</v>
      </c>
      <c r="C307" s="20" t="s">
        <v>1913</v>
      </c>
      <c r="D307" s="39" t="s">
        <v>822</v>
      </c>
      <c r="E307" s="16"/>
      <c r="F307" s="16" t="s">
        <v>278</v>
      </c>
      <c r="G307" s="20" t="s">
        <v>279</v>
      </c>
      <c r="H307" s="16" t="s">
        <v>198</v>
      </c>
      <c r="I307" s="21" t="s">
        <v>199</v>
      </c>
      <c r="J307" s="22">
        <v>210000000</v>
      </c>
      <c r="K307" s="23">
        <v>46023</v>
      </c>
      <c r="L307" s="23">
        <v>46387</v>
      </c>
      <c r="M307" s="16"/>
      <c r="N307" s="40" t="s">
        <v>2213</v>
      </c>
      <c r="O307" s="32" t="str">
        <f>IFERROR(VLOOKUP($G307,[1]DB2!$A:$B,2,0),"공동과책 확인")</f>
        <v>Ryu, Jaena</v>
      </c>
      <c r="P307" s="32" t="s">
        <v>1801</v>
      </c>
      <c r="Q307" s="32" t="s">
        <v>1800</v>
      </c>
      <c r="R307" s="32" t="str">
        <f>IFERROR(VLOOKUP($I307,[1]DB2!$F$2:$I$58,2,0),"옛날 부서명 확인")</f>
        <v xml:space="preserve">Water Management Division </v>
      </c>
      <c r="S307" s="32" t="str">
        <f>IFERROR(VLOOKUP($I307,[1]DB2!$F$2:$I$58,4,0),"옛날 부서명 확인")</f>
        <v xml:space="preserve">Land and Environment Research Group </v>
      </c>
    </row>
    <row r="308" spans="1:19" ht="18" customHeight="1">
      <c r="A308" s="15"/>
      <c r="B308" s="20" t="s">
        <v>797</v>
      </c>
      <c r="C308" s="20" t="s">
        <v>1914</v>
      </c>
      <c r="D308" s="39" t="s">
        <v>824</v>
      </c>
      <c r="E308" s="16"/>
      <c r="F308" s="16" t="s">
        <v>260</v>
      </c>
      <c r="G308" s="20" t="s">
        <v>261</v>
      </c>
      <c r="H308" s="16" t="s">
        <v>254</v>
      </c>
      <c r="I308" s="21" t="s">
        <v>255</v>
      </c>
      <c r="J308" s="22">
        <v>200000000</v>
      </c>
      <c r="K308" s="23">
        <v>46023</v>
      </c>
      <c r="L308" s="23">
        <v>46387</v>
      </c>
      <c r="M308" s="16"/>
      <c r="N308" s="40" t="s">
        <v>1812</v>
      </c>
      <c r="O308" s="32" t="str">
        <f>IFERROR(VLOOKUP($G308,[1]DB2!$A:$B,2,0),"공동과책 확인")</f>
        <v xml:space="preserve">Yi, Sora </v>
      </c>
      <c r="P308" s="32" t="s">
        <v>2157</v>
      </c>
      <c r="Q308" s="32"/>
      <c r="R308" s="32" t="str">
        <f>IFERROR(VLOOKUP($I308,[1]DB2!$F$2:$I$58,2,0),"옛날 부서명 확인")</f>
        <v xml:space="preserve">Circular Economy Division </v>
      </c>
      <c r="S308" s="32" t="str">
        <f>IFERROR(VLOOKUP($I308,[1]DB2!$F$2:$I$58,4,0),"옛날 부서명 확인")</f>
        <v xml:space="preserve">Sustainable Development Research Group  </v>
      </c>
    </row>
    <row r="309" spans="1:19" ht="18" customHeight="1">
      <c r="A309" s="15"/>
      <c r="B309" s="20" t="s">
        <v>797</v>
      </c>
      <c r="C309" s="20" t="s">
        <v>1915</v>
      </c>
      <c r="D309" s="39" t="s">
        <v>826</v>
      </c>
      <c r="E309" s="16"/>
      <c r="F309" s="16" t="s">
        <v>509</v>
      </c>
      <c r="G309" s="20" t="s">
        <v>510</v>
      </c>
      <c r="H309" s="16" t="s">
        <v>32</v>
      </c>
      <c r="I309" s="21" t="s">
        <v>27</v>
      </c>
      <c r="J309" s="22">
        <v>180000000</v>
      </c>
      <c r="K309" s="23">
        <v>46023</v>
      </c>
      <c r="L309" s="23">
        <v>46387</v>
      </c>
      <c r="M309" s="16"/>
      <c r="N309" s="40" t="s">
        <v>1806</v>
      </c>
      <c r="O309" s="32" t="str">
        <f>IFERROR(VLOOKUP($G309,[1]DB2!$A:$B,2,0),"공동과책 확인")</f>
        <v>Lee, Who-Seung</v>
      </c>
      <c r="P309" s="32" t="s">
        <v>1797</v>
      </c>
      <c r="Q309" s="32" t="s">
        <v>2259</v>
      </c>
      <c r="R309" s="32" t="str">
        <f>IFERROR(VLOOKUP($I309,[1]DB2!$F$2:$I$58,2,0),"옛날 부서명 확인")</f>
        <v xml:space="preserve">Natural Environment Division </v>
      </c>
      <c r="S309" s="32" t="str">
        <f>IFERROR(VLOOKUP($I309,[1]DB2!$F$2:$I$58,4,0),"옛날 부서명 확인")</f>
        <v xml:space="preserve">Land and Environment Research Group </v>
      </c>
    </row>
    <row r="310" spans="1:19" ht="18" customHeight="1">
      <c r="A310" s="15"/>
      <c r="B310" s="20" t="s">
        <v>797</v>
      </c>
      <c r="C310" s="20" t="s">
        <v>1916</v>
      </c>
      <c r="D310" s="39" t="s">
        <v>829</v>
      </c>
      <c r="E310" s="16"/>
      <c r="F310" s="16" t="s">
        <v>465</v>
      </c>
      <c r="G310" s="20" t="s">
        <v>466</v>
      </c>
      <c r="H310" s="16" t="s">
        <v>382</v>
      </c>
      <c r="I310" s="21" t="s">
        <v>383</v>
      </c>
      <c r="J310" s="22">
        <v>180000000</v>
      </c>
      <c r="K310" s="23">
        <v>46023</v>
      </c>
      <c r="L310" s="23">
        <v>46387</v>
      </c>
      <c r="M310" s="16"/>
      <c r="N310" s="40" t="s">
        <v>2214</v>
      </c>
      <c r="O310" s="32" t="str">
        <f>IFERROR(VLOOKUP($G310,[1]DB2!$A:$B,2,0),"공동과책 확인")</f>
        <v>Park, Taeho</v>
      </c>
      <c r="P310" s="32" t="s">
        <v>1796</v>
      </c>
      <c r="Q310" s="32" t="s">
        <v>2257</v>
      </c>
      <c r="R310" s="32" t="str">
        <f>IFERROR(VLOOKUP($I310,[1]DB2!$F$2:$I$58,2,0),"옛날 부서명 확인")</f>
        <v xml:space="preserve">Social Infrastructure Assessment Division </v>
      </c>
      <c r="S310" s="32" t="str">
        <f>IFERROR(VLOOKUP($I310,[1]DB2!$F$2:$I$58,4,0),"옛날 부서명 확인")</f>
        <v xml:space="preserve">Environmental Assessment Group </v>
      </c>
    </row>
    <row r="311" spans="1:19" ht="18" customHeight="1">
      <c r="A311" s="15"/>
      <c r="B311" s="20" t="s">
        <v>797</v>
      </c>
      <c r="C311" s="20" t="s">
        <v>1917</v>
      </c>
      <c r="D311" s="39" t="s">
        <v>2058</v>
      </c>
      <c r="E311" s="16"/>
      <c r="F311" s="16" t="s">
        <v>399</v>
      </c>
      <c r="G311" s="20" t="s">
        <v>400</v>
      </c>
      <c r="H311" s="16" t="s">
        <v>343</v>
      </c>
      <c r="I311" s="21" t="s">
        <v>191</v>
      </c>
      <c r="J311" s="22">
        <v>215000000</v>
      </c>
      <c r="K311" s="23">
        <v>46023</v>
      </c>
      <c r="L311" s="23">
        <v>46387</v>
      </c>
      <c r="M311" s="16"/>
      <c r="N311" s="40" t="s">
        <v>2059</v>
      </c>
      <c r="O311" s="32" t="str">
        <f>IFERROR(VLOOKUP($G311,[1]DB2!$A:$B,2,0),"공동과책 확인")</f>
        <v>Lee, Seungmin</v>
      </c>
      <c r="P311" s="32" t="s">
        <v>1799</v>
      </c>
      <c r="Q311" s="32" t="s">
        <v>2281</v>
      </c>
      <c r="R311" s="32" t="str">
        <f>IFERROR(VLOOKUP($I311,[1]DB2!$F$2:$I$58,2,0),"옛날 부서명 확인")</f>
        <v>Atmospheric Environment Division</v>
      </c>
      <c r="S311" s="32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5"/>
      <c r="B312" s="20" t="s">
        <v>797</v>
      </c>
      <c r="C312" s="20" t="s">
        <v>1918</v>
      </c>
      <c r="D312" s="39" t="s">
        <v>2060</v>
      </c>
      <c r="E312" s="16"/>
      <c r="F312" s="16" t="s">
        <v>85</v>
      </c>
      <c r="G312" s="20" t="s">
        <v>86</v>
      </c>
      <c r="H312" s="16" t="s">
        <v>394</v>
      </c>
      <c r="I312" s="21" t="s">
        <v>395</v>
      </c>
      <c r="J312" s="22">
        <v>215000000</v>
      </c>
      <c r="K312" s="23">
        <v>46023</v>
      </c>
      <c r="L312" s="23">
        <v>46387</v>
      </c>
      <c r="M312" s="16"/>
      <c r="N312" s="40" t="s">
        <v>2061</v>
      </c>
      <c r="O312" s="32" t="str">
        <f>IFERROR(VLOOKUP($G312,[1]DB2!$A:$B,2,0),"공동과책 확인")</f>
        <v>Kim, Taeyun</v>
      </c>
      <c r="P312" s="32" t="s">
        <v>1796</v>
      </c>
      <c r="Q312" s="32" t="s">
        <v>2255</v>
      </c>
      <c r="R312" s="32" t="str">
        <f>IFERROR(VLOOKUP($I312,[1]DB2!$F$2:$I$58,2,0),"옛날 부서명 확인")</f>
        <v xml:space="preserve">Climate and Energy Assessment Division </v>
      </c>
      <c r="S312" s="32" t="str">
        <f>IFERROR(VLOOKUP($I312,[1]DB2!$F$2:$I$58,4,0),"옛날 부서명 확인")</f>
        <v xml:space="preserve">Environmental Assessment Group </v>
      </c>
    </row>
    <row r="313" spans="1:19" ht="18" customHeight="1">
      <c r="A313" s="15"/>
      <c r="B313" s="20" t="s">
        <v>797</v>
      </c>
      <c r="C313" s="20" t="s">
        <v>1919</v>
      </c>
      <c r="D313" s="39" t="s">
        <v>831</v>
      </c>
      <c r="E313" s="16"/>
      <c r="F313" s="16" t="s">
        <v>144</v>
      </c>
      <c r="G313" s="20" t="s">
        <v>145</v>
      </c>
      <c r="H313" s="16" t="s">
        <v>527</v>
      </c>
      <c r="I313" s="21" t="s">
        <v>528</v>
      </c>
      <c r="J313" s="22">
        <v>140000000</v>
      </c>
      <c r="K313" s="23">
        <v>46023</v>
      </c>
      <c r="L313" s="23">
        <v>46387</v>
      </c>
      <c r="M313" s="16"/>
      <c r="N313" s="40" t="s">
        <v>2215</v>
      </c>
      <c r="O313" s="32" t="str">
        <f>IFERROR(VLOOKUP($G313,[1]DB2!$A:$B,2,0),"공동과책 확인")</f>
        <v>Suh, Yang-won</v>
      </c>
      <c r="P313" s="32" t="s">
        <v>1800</v>
      </c>
      <c r="Q313" s="32" t="s">
        <v>2259</v>
      </c>
      <c r="R313" s="32" t="str">
        <f>IFERROR(VLOOKUP($I313,[1]DB2!$F$2:$I$58,2,0),"옛날 부서명 확인")</f>
        <v xml:space="preserve">Sustainable Development Research Group  </v>
      </c>
      <c r="S313" s="32" t="str">
        <f>IFERROR(VLOOKUP($I313,[1]DB2!$F$2:$I$58,4,0),"옛날 부서명 확인")</f>
        <v xml:space="preserve">Sustainable Development Research Group  </v>
      </c>
    </row>
    <row r="314" spans="1:19" ht="18" customHeight="1">
      <c r="A314" s="15"/>
      <c r="B314" s="20" t="s">
        <v>840</v>
      </c>
      <c r="C314" s="20" t="s">
        <v>1920</v>
      </c>
      <c r="D314" s="39" t="s">
        <v>2062</v>
      </c>
      <c r="E314" s="16"/>
      <c r="F314" s="16" t="s">
        <v>1921</v>
      </c>
      <c r="G314" s="20" t="s">
        <v>1039</v>
      </c>
      <c r="H314" s="16" t="s">
        <v>394</v>
      </c>
      <c r="I314" s="21" t="s">
        <v>395</v>
      </c>
      <c r="J314" s="22">
        <v>35000000</v>
      </c>
      <c r="K314" s="23">
        <v>46023</v>
      </c>
      <c r="L314" s="23">
        <v>46387</v>
      </c>
      <c r="M314" s="16"/>
      <c r="N314" s="40" t="s">
        <v>2063</v>
      </c>
      <c r="O314" s="32" t="str">
        <f>IFERROR(VLOOKUP($G314,[1]DB2!$A:$B,2,0),"공동과책 확인")</f>
        <v>Joo, Yong-Joon</v>
      </c>
      <c r="P314" s="32" t="s">
        <v>2256</v>
      </c>
      <c r="Q314" s="32" t="s">
        <v>2259</v>
      </c>
      <c r="R314" s="32" t="str">
        <f>IFERROR(VLOOKUP($I314,[1]DB2!$F$2:$I$58,2,0),"옛날 부서명 확인")</f>
        <v xml:space="preserve">Climate and Energy Assessment Division </v>
      </c>
      <c r="S314" s="32" t="str">
        <f>IFERROR(VLOOKUP($I314,[1]DB2!$F$2:$I$58,4,0),"옛날 부서명 확인")</f>
        <v xml:space="preserve">Environmental Assessment Group </v>
      </c>
    </row>
    <row r="315" spans="1:19" ht="18" customHeight="1">
      <c r="A315" s="15"/>
      <c r="B315" s="20" t="s">
        <v>840</v>
      </c>
      <c r="C315" s="20" t="s">
        <v>1922</v>
      </c>
      <c r="D315" s="39" t="s">
        <v>2064</v>
      </c>
      <c r="E315" s="16"/>
      <c r="F315" s="16" t="s">
        <v>260</v>
      </c>
      <c r="G315" s="20" t="s">
        <v>261</v>
      </c>
      <c r="H315" s="16" t="s">
        <v>254</v>
      </c>
      <c r="I315" s="21" t="s">
        <v>255</v>
      </c>
      <c r="J315" s="22">
        <v>35000000</v>
      </c>
      <c r="K315" s="23">
        <v>46023</v>
      </c>
      <c r="L315" s="23">
        <v>46326</v>
      </c>
      <c r="M315" s="16"/>
      <c r="N315" s="40" t="s">
        <v>2326</v>
      </c>
      <c r="O315" s="32" t="str">
        <f>IFERROR(VLOOKUP($G315,[1]DB2!$A:$B,2,0),"공동과책 확인")</f>
        <v xml:space="preserve">Yi, Sora </v>
      </c>
      <c r="P315" s="32" t="s">
        <v>2157</v>
      </c>
      <c r="Q315" s="32" t="s">
        <v>2257</v>
      </c>
      <c r="R315" s="32" t="str">
        <f>IFERROR(VLOOKUP($I315,[1]DB2!$F$2:$I$58,2,0),"옛날 부서명 확인")</f>
        <v xml:space="preserve">Circular Economy Division </v>
      </c>
      <c r="S315" s="32" t="str">
        <f>IFERROR(VLOOKUP($I315,[1]DB2!$F$2:$I$58,4,0),"옛날 부서명 확인")</f>
        <v xml:space="preserve">Sustainable Development Research Group  </v>
      </c>
    </row>
    <row r="316" spans="1:19" ht="18" customHeight="1">
      <c r="A316" s="15"/>
      <c r="B316" s="20" t="s">
        <v>840</v>
      </c>
      <c r="C316" s="20" t="s">
        <v>1923</v>
      </c>
      <c r="D316" s="39" t="s">
        <v>2066</v>
      </c>
      <c r="E316" s="16"/>
      <c r="F316" s="16" t="s">
        <v>565</v>
      </c>
      <c r="G316" s="20" t="s">
        <v>566</v>
      </c>
      <c r="H316" s="16" t="s">
        <v>32</v>
      </c>
      <c r="I316" s="21" t="s">
        <v>27</v>
      </c>
      <c r="J316" s="22">
        <v>30000000</v>
      </c>
      <c r="K316" s="23">
        <v>46023</v>
      </c>
      <c r="L316" s="23">
        <v>46326</v>
      </c>
      <c r="M316" s="16"/>
      <c r="N316" s="40" t="s">
        <v>2067</v>
      </c>
      <c r="O316" s="32" t="str">
        <f>IFERROR(VLOOKUP($G316,[1]DB2!$A:$B,2,0),"공동과책 확인")</f>
        <v>Hong, Hyunjung</v>
      </c>
      <c r="P316" s="32" t="s">
        <v>1797</v>
      </c>
      <c r="Q316" s="32" t="s">
        <v>2158</v>
      </c>
      <c r="R316" s="32" t="str">
        <f>IFERROR(VLOOKUP($I316,[1]DB2!$F$2:$I$58,2,0),"옛날 부서명 확인")</f>
        <v xml:space="preserve">Natural Environment Division </v>
      </c>
      <c r="S316" s="32" t="str">
        <f>IFERROR(VLOOKUP($I316,[1]DB2!$F$2:$I$58,4,0),"옛날 부서명 확인")</f>
        <v xml:space="preserve">Land and Environment Research Group </v>
      </c>
    </row>
    <row r="317" spans="1:19" ht="18" customHeight="1">
      <c r="A317" s="15"/>
      <c r="B317" s="20" t="s">
        <v>840</v>
      </c>
      <c r="C317" s="20" t="s">
        <v>1924</v>
      </c>
      <c r="D317" s="39" t="s">
        <v>2068</v>
      </c>
      <c r="E317" s="16"/>
      <c r="F317" s="16" t="s">
        <v>225</v>
      </c>
      <c r="G317" s="20" t="s">
        <v>226</v>
      </c>
      <c r="H317" s="16" t="s">
        <v>243</v>
      </c>
      <c r="I317" s="21" t="s">
        <v>147</v>
      </c>
      <c r="J317" s="22">
        <v>30000000</v>
      </c>
      <c r="K317" s="23">
        <v>46023</v>
      </c>
      <c r="L317" s="23">
        <v>46326</v>
      </c>
      <c r="M317" s="16"/>
      <c r="N317" s="40" t="s">
        <v>2305</v>
      </c>
      <c r="O317" s="32" t="str">
        <f>IFERROR(VLOOKUP($G317,[1]DB2!$A:$B,2,0),"공동과책 확인")</f>
        <v xml:space="preserve">Jung, Dawoon </v>
      </c>
      <c r="P317" s="32" t="s">
        <v>2281</v>
      </c>
      <c r="Q317" s="32" t="s">
        <v>1797</v>
      </c>
      <c r="R317" s="32" t="str">
        <f>IFERROR(VLOOKUP($I317,[1]DB2!$F$2:$I$58,2,0),"옛날 부서명 확인")</f>
        <v xml:space="preserve">Environmental Health Division </v>
      </c>
      <c r="S317" s="32" t="str">
        <f>IFERROR(VLOOKUP($I317,[1]DB2!$F$2:$I$58,4,0),"옛날 부서명 확인")</f>
        <v xml:space="preserve">Sustainable Development Research Group  </v>
      </c>
    </row>
    <row r="318" spans="1:19" ht="18" customHeight="1">
      <c r="A318" s="15"/>
      <c r="B318" s="20" t="s">
        <v>840</v>
      </c>
      <c r="C318" s="20" t="s">
        <v>1925</v>
      </c>
      <c r="D318" s="39" t="s">
        <v>2069</v>
      </c>
      <c r="E318" s="16"/>
      <c r="F318" s="16" t="s">
        <v>175</v>
      </c>
      <c r="G318" s="20" t="s">
        <v>176</v>
      </c>
      <c r="H318" s="16" t="s">
        <v>434</v>
      </c>
      <c r="I318" s="21" t="s">
        <v>435</v>
      </c>
      <c r="J318" s="22">
        <v>35000000</v>
      </c>
      <c r="K318" s="23">
        <v>46023</v>
      </c>
      <c r="L318" s="23">
        <v>46387</v>
      </c>
      <c r="M318" s="16"/>
      <c r="N318" s="40" t="s">
        <v>2327</v>
      </c>
      <c r="O318" s="32" t="str">
        <f>IFERROR(VLOOKUP($G318,[1]DB2!$A:$B,2,0),"공동과책 확인")</f>
        <v>Kang, Hyeongsik</v>
      </c>
      <c r="P318" s="32" t="s">
        <v>1801</v>
      </c>
      <c r="Q318" s="32" t="s">
        <v>1798</v>
      </c>
      <c r="R318" s="32" t="str">
        <f>IFERROR(VLOOKUP($I318,[1]DB2!$F$2:$I$58,2,0),"옛날 부서명 확인")</f>
        <v xml:space="preserve">Land and Environment Research Group </v>
      </c>
      <c r="S318" s="32" t="str">
        <f>IFERROR(VLOOKUP($I318,[1]DB2!$F$2:$I$58,4,0),"옛날 부서명 확인")</f>
        <v xml:space="preserve">Land and Environment Research Group </v>
      </c>
    </row>
    <row r="319" spans="1:19" ht="18" customHeight="1">
      <c r="A319" s="15"/>
      <c r="B319" s="20" t="s">
        <v>840</v>
      </c>
      <c r="C319" s="20" t="s">
        <v>1926</v>
      </c>
      <c r="D319" s="39" t="s">
        <v>2070</v>
      </c>
      <c r="E319" s="16"/>
      <c r="F319" s="16" t="s">
        <v>1927</v>
      </c>
      <c r="G319" s="20" t="s">
        <v>1058</v>
      </c>
      <c r="H319" s="16" t="s">
        <v>394</v>
      </c>
      <c r="I319" s="21" t="s">
        <v>395</v>
      </c>
      <c r="J319" s="22">
        <v>30000000</v>
      </c>
      <c r="K319" s="23">
        <v>46023</v>
      </c>
      <c r="L319" s="23">
        <v>46326</v>
      </c>
      <c r="M319" s="16"/>
      <c r="N319" s="40" t="s">
        <v>2328</v>
      </c>
      <c r="O319" s="32" t="str">
        <f>IFERROR(VLOOKUP($G319,[1]DB2!$A:$B,2,0),"공동과책 확인")</f>
        <v>Sun, Hyosung</v>
      </c>
      <c r="P319" s="32" t="s">
        <v>1796</v>
      </c>
      <c r="Q319" s="32" t="s">
        <v>2158</v>
      </c>
      <c r="R319" s="32" t="str">
        <f>IFERROR(VLOOKUP($I319,[1]DB2!$F$2:$I$58,2,0),"옛날 부서명 확인")</f>
        <v xml:space="preserve">Climate and Energy Assessment Division </v>
      </c>
      <c r="S319" s="32" t="str">
        <f>IFERROR(VLOOKUP($I319,[1]DB2!$F$2:$I$58,4,0),"옛날 부서명 확인")</f>
        <v xml:space="preserve">Environmental Assessment Group </v>
      </c>
    </row>
    <row r="320" spans="1:19" ht="18" customHeight="1">
      <c r="A320" s="15"/>
      <c r="B320" s="20" t="s">
        <v>840</v>
      </c>
      <c r="C320" s="20" t="s">
        <v>1928</v>
      </c>
      <c r="D320" s="39" t="s">
        <v>2071</v>
      </c>
      <c r="E320" s="16"/>
      <c r="F320" s="16" t="s">
        <v>497</v>
      </c>
      <c r="G320" s="20" t="s">
        <v>498</v>
      </c>
      <c r="H320" s="16" t="s">
        <v>425</v>
      </c>
      <c r="I320" s="21" t="s">
        <v>124</v>
      </c>
      <c r="J320" s="22">
        <v>30000000</v>
      </c>
      <c r="K320" s="23">
        <v>46023</v>
      </c>
      <c r="L320" s="23">
        <v>46326</v>
      </c>
      <c r="M320" s="16"/>
      <c r="N320" s="40" t="s">
        <v>2367</v>
      </c>
      <c r="O320" s="32" t="str">
        <f>IFERROR(VLOOKUP($G320,[1]DB2!$A:$B,2,0),"공동과책 확인")</f>
        <v>Choi, Hyungsik</v>
      </c>
      <c r="P320" s="32" t="s">
        <v>2255</v>
      </c>
      <c r="Q320" s="32" t="s">
        <v>1800</v>
      </c>
      <c r="R320" s="32" t="str">
        <f>IFERROR(VLOOKUP($I320,[1]DB2!$F$2:$I$58,2,0),"옛날 부서명 확인")</f>
        <v xml:space="preserve">Carbon Neutrality Division </v>
      </c>
      <c r="S320" s="32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5"/>
      <c r="B321" s="20" t="s">
        <v>840</v>
      </c>
      <c r="C321" s="20" t="s">
        <v>1929</v>
      </c>
      <c r="D321" s="39" t="s">
        <v>2072</v>
      </c>
      <c r="E321" s="16"/>
      <c r="F321" s="16" t="s">
        <v>561</v>
      </c>
      <c r="G321" s="20" t="s">
        <v>562</v>
      </c>
      <c r="H321" s="16" t="s">
        <v>254</v>
      </c>
      <c r="I321" s="21" t="s">
        <v>255</v>
      </c>
      <c r="J321" s="22">
        <v>30000000</v>
      </c>
      <c r="K321" s="23">
        <v>46023</v>
      </c>
      <c r="L321" s="23">
        <v>46326</v>
      </c>
      <c r="M321" s="16"/>
      <c r="N321" s="40" t="s">
        <v>2073</v>
      </c>
      <c r="O321" s="32" t="str">
        <f>IFERROR(VLOOKUP($G321,[1]DB2!$A:$B,2,0),"공동과책 확인")</f>
        <v>Jo, Ji Hye</v>
      </c>
      <c r="P321" s="32" t="s">
        <v>2157</v>
      </c>
      <c r="Q321" s="32"/>
      <c r="R321" s="32" t="str">
        <f>IFERROR(VLOOKUP($I321,[1]DB2!$F$2:$I$58,2,0),"옛날 부서명 확인")</f>
        <v xml:space="preserve">Circular Economy Division </v>
      </c>
      <c r="S321" s="32" t="str">
        <f>IFERROR(VLOOKUP($I321,[1]DB2!$F$2:$I$58,4,0),"옛날 부서명 확인")</f>
        <v xml:space="preserve">Sustainable Development Research Group  </v>
      </c>
    </row>
    <row r="322" spans="1:19" ht="18" customHeight="1">
      <c r="A322" s="15"/>
      <c r="B322" s="20" t="s">
        <v>840</v>
      </c>
      <c r="C322" s="20" t="s">
        <v>1930</v>
      </c>
      <c r="D322" s="39" t="s">
        <v>2074</v>
      </c>
      <c r="E322" s="16"/>
      <c r="F322" s="16" t="s">
        <v>295</v>
      </c>
      <c r="G322" s="20" t="s">
        <v>296</v>
      </c>
      <c r="H322" s="16" t="s">
        <v>297</v>
      </c>
      <c r="I322" s="21" t="s">
        <v>298</v>
      </c>
      <c r="J322" s="22">
        <v>30000000</v>
      </c>
      <c r="K322" s="23">
        <v>46023</v>
      </c>
      <c r="L322" s="23">
        <v>46326</v>
      </c>
      <c r="M322" s="16"/>
      <c r="N322" s="40" t="s">
        <v>2329</v>
      </c>
      <c r="O322" s="32" t="str">
        <f>IFERROR(VLOOKUP($G322,[1]DB2!$A:$B,2,0),"공동과책 확인")</f>
        <v>Shin, Jiyoung</v>
      </c>
      <c r="P322" s="32" t="s">
        <v>1798</v>
      </c>
      <c r="Q322" s="32"/>
      <c r="R322" s="32" t="str">
        <f>IFERROR(VLOOKUP($I322,[1]DB2!$F$2:$I$58,2,0),"옛날 부서명 확인")</f>
        <v xml:space="preserve">Climate Adaptation Policy Division </v>
      </c>
      <c r="S322" s="32" t="str">
        <f>IFERROR(VLOOKUP($I322,[1]DB2!$F$2:$I$58,4,0),"옛날 부서명 확인")</f>
        <v xml:space="preserve">Korea Adaptation Center for Climate Change </v>
      </c>
    </row>
    <row r="323" spans="1:19" ht="18" customHeight="1">
      <c r="A323" s="15"/>
      <c r="B323" s="20" t="s">
        <v>840</v>
      </c>
      <c r="C323" s="20" t="s">
        <v>1931</v>
      </c>
      <c r="D323" s="39" t="s">
        <v>2075</v>
      </c>
      <c r="E323" s="16"/>
      <c r="F323" s="16" t="s">
        <v>1932</v>
      </c>
      <c r="G323" s="20" t="s">
        <v>1933</v>
      </c>
      <c r="H323" s="16" t="s">
        <v>254</v>
      </c>
      <c r="I323" s="21" t="s">
        <v>255</v>
      </c>
      <c r="J323" s="22">
        <v>30000000</v>
      </c>
      <c r="K323" s="23">
        <v>46023</v>
      </c>
      <c r="L323" s="23">
        <v>46326</v>
      </c>
      <c r="M323" s="16"/>
      <c r="N323" s="40" t="s">
        <v>2076</v>
      </c>
      <c r="O323" s="32" t="str">
        <f>IFERROR(VLOOKUP($G323,[1]DB2!$A:$B,2,0),"공동과책 확인")</f>
        <v>Park, Jihwan</v>
      </c>
      <c r="P323" s="32" t="s">
        <v>2157</v>
      </c>
      <c r="Q323" s="32" t="s">
        <v>1800</v>
      </c>
      <c r="R323" s="32" t="str">
        <f>IFERROR(VLOOKUP($I323,[1]DB2!$F$2:$I$58,2,0),"옛날 부서명 확인")</f>
        <v xml:space="preserve">Circular Economy Division </v>
      </c>
      <c r="S323" s="32" t="str">
        <f>IFERROR(VLOOKUP($I323,[1]DB2!$F$2:$I$58,4,0),"옛날 부서명 확인")</f>
        <v xml:space="preserve">Sustainable Development Research Group  </v>
      </c>
    </row>
    <row r="324" spans="1:19" ht="18" customHeight="1">
      <c r="A324" s="15"/>
      <c r="B324" s="20" t="s">
        <v>840</v>
      </c>
      <c r="C324" s="20" t="s">
        <v>1934</v>
      </c>
      <c r="D324" s="39" t="s">
        <v>2077</v>
      </c>
      <c r="E324" s="16"/>
      <c r="F324" s="16" t="s">
        <v>121</v>
      </c>
      <c r="G324" s="20" t="s">
        <v>122</v>
      </c>
      <c r="H324" s="16" t="s">
        <v>425</v>
      </c>
      <c r="I324" s="21" t="s">
        <v>124</v>
      </c>
      <c r="J324" s="22">
        <v>35000000</v>
      </c>
      <c r="K324" s="23">
        <v>46023</v>
      </c>
      <c r="L324" s="23">
        <v>46326</v>
      </c>
      <c r="M324" s="16"/>
      <c r="N324" s="40" t="s">
        <v>2078</v>
      </c>
      <c r="O324" s="32" t="str">
        <f>IFERROR(VLOOKUP($G324,[1]DB2!$A:$B,2,0),"공동과책 확인")</f>
        <v>Kim, Sungjin</v>
      </c>
      <c r="P324" s="32" t="s">
        <v>2255</v>
      </c>
      <c r="Q324" s="32" t="s">
        <v>2158</v>
      </c>
      <c r="R324" s="32" t="str">
        <f>IFERROR(VLOOKUP($I324,[1]DB2!$F$2:$I$58,2,0),"옛날 부서명 확인")</f>
        <v xml:space="preserve">Carbon Neutrality Division </v>
      </c>
      <c r="S324" s="32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5"/>
      <c r="B325" s="20" t="s">
        <v>840</v>
      </c>
      <c r="C325" s="20" t="s">
        <v>1935</v>
      </c>
      <c r="D325" s="39" t="s">
        <v>2079</v>
      </c>
      <c r="E325" s="16"/>
      <c r="F325" s="16" t="s">
        <v>908</v>
      </c>
      <c r="G325" s="20" t="s">
        <v>794</v>
      </c>
      <c r="H325" s="16" t="s">
        <v>38</v>
      </c>
      <c r="I325" s="21" t="s">
        <v>39</v>
      </c>
      <c r="J325" s="22">
        <v>30000000</v>
      </c>
      <c r="K325" s="23">
        <v>46023</v>
      </c>
      <c r="L325" s="23">
        <v>46326</v>
      </c>
      <c r="M325" s="16"/>
      <c r="N325" s="40" t="s">
        <v>2080</v>
      </c>
      <c r="O325" s="32" t="str">
        <f>IFERROR(VLOOKUP($G325,[1]DB2!$A:$B,2,0),"공동과책 확인")</f>
        <v xml:space="preserve">Park, Juyoung </v>
      </c>
      <c r="P325" s="32" t="s">
        <v>1800</v>
      </c>
      <c r="Q325" s="43" t="s">
        <v>2281</v>
      </c>
      <c r="R325" s="32" t="str">
        <f>IFERROR(VLOOKUP($I325,[1]DB2!$F$2:$I$58,2,0),"옛날 부서명 확인")</f>
        <v xml:space="preserve">Living Environment and Society Division </v>
      </c>
      <c r="S325" s="32" t="str">
        <f>IFERROR(VLOOKUP($I325,[1]DB2!$F$2:$I$58,4,0),"옛날 부서명 확인")</f>
        <v xml:space="preserve">Sustainable Development Research Group  </v>
      </c>
    </row>
    <row r="326" spans="1:19" ht="18" customHeight="1">
      <c r="A326" s="15"/>
      <c r="B326" s="20" t="s">
        <v>840</v>
      </c>
      <c r="C326" s="20" t="s">
        <v>1936</v>
      </c>
      <c r="D326" s="39" t="s">
        <v>2084</v>
      </c>
      <c r="E326" s="16"/>
      <c r="F326" s="16" t="s">
        <v>196</v>
      </c>
      <c r="G326" s="20" t="s">
        <v>197</v>
      </c>
      <c r="H326" s="16" t="s">
        <v>198</v>
      </c>
      <c r="I326" s="21" t="s">
        <v>199</v>
      </c>
      <c r="J326" s="22">
        <v>30000000</v>
      </c>
      <c r="K326" s="23">
        <v>46023</v>
      </c>
      <c r="L326" s="23">
        <v>46387</v>
      </c>
      <c r="M326" s="16"/>
      <c r="N326" s="40" t="s">
        <v>2085</v>
      </c>
      <c r="O326" s="32" t="str">
        <f>IFERROR(VLOOKUP($G326,[1]DB2!$A:$B,2,0),"공동과책 확인")</f>
        <v>Lee, Moonhwan</v>
      </c>
      <c r="P326" s="32" t="s">
        <v>1801</v>
      </c>
      <c r="Q326" s="32"/>
      <c r="R326" s="32" t="str">
        <f>IFERROR(VLOOKUP($I326,[1]DB2!$F$2:$I$58,2,0),"옛날 부서명 확인")</f>
        <v xml:space="preserve">Water Management Division </v>
      </c>
      <c r="S326" s="32" t="str">
        <f>IFERROR(VLOOKUP($I326,[1]DB2!$F$2:$I$58,4,0),"옛날 부서명 확인")</f>
        <v xml:space="preserve">Land and Environment Research Group </v>
      </c>
    </row>
    <row r="327" spans="1:19" ht="18" customHeight="1">
      <c r="A327" s="15"/>
      <c r="B327" s="20" t="s">
        <v>840</v>
      </c>
      <c r="C327" s="20" t="s">
        <v>1937</v>
      </c>
      <c r="D327" s="39" t="s">
        <v>2086</v>
      </c>
      <c r="E327" s="16"/>
      <c r="F327" s="16" t="s">
        <v>777</v>
      </c>
      <c r="G327" s="20" t="s">
        <v>778</v>
      </c>
      <c r="H327" s="16" t="s">
        <v>476</v>
      </c>
      <c r="I327" s="21" t="s">
        <v>477</v>
      </c>
      <c r="J327" s="22">
        <v>30000000</v>
      </c>
      <c r="K327" s="23">
        <v>46023</v>
      </c>
      <c r="L327" s="23">
        <v>46326</v>
      </c>
      <c r="M327" s="16"/>
      <c r="N327" s="40" t="s">
        <v>2330</v>
      </c>
      <c r="O327" s="32" t="str">
        <f>IFERROR(VLOOKUP($G327,[1]DB2!$A:$B,2,0),"공동과책 확인")</f>
        <v>Kim, Hyo Gyeom</v>
      </c>
      <c r="P327" s="32" t="s">
        <v>1797</v>
      </c>
      <c r="Q327" s="32" t="s">
        <v>1801</v>
      </c>
      <c r="R327" s="32" t="str">
        <f>IFERROR(VLOOKUP($I327,[1]DB2!$F$2:$I$58,2,0),"옛날 부서명 확인")</f>
        <v xml:space="preserve">Environmental Resources Assessment Division </v>
      </c>
      <c r="S327" s="32" t="str">
        <f>IFERROR(VLOOKUP($I327,[1]DB2!$F$2:$I$58,4,0),"옛날 부서명 확인")</f>
        <v xml:space="preserve">Environmental Assessment Group </v>
      </c>
    </row>
    <row r="328" spans="1:19" ht="18" customHeight="1">
      <c r="A328" s="15"/>
      <c r="B328" s="20" t="s">
        <v>840</v>
      </c>
      <c r="C328" s="20" t="s">
        <v>1938</v>
      </c>
      <c r="D328" s="39" t="s">
        <v>2087</v>
      </c>
      <c r="E328" s="16"/>
      <c r="F328" s="16" t="s">
        <v>735</v>
      </c>
      <c r="G328" s="20" t="s">
        <v>736</v>
      </c>
      <c r="H328" s="16" t="s">
        <v>394</v>
      </c>
      <c r="I328" s="21" t="s">
        <v>395</v>
      </c>
      <c r="J328" s="22">
        <v>30000000</v>
      </c>
      <c r="K328" s="23">
        <v>46023</v>
      </c>
      <c r="L328" s="23">
        <v>46326</v>
      </c>
      <c r="M328" s="16"/>
      <c r="N328" s="40" t="s">
        <v>2331</v>
      </c>
      <c r="O328" s="32" t="str">
        <f>IFERROR(VLOOKUP($G328,[1]DB2!$A:$B,2,0),"공동과책 확인")</f>
        <v xml:space="preserve">Heo, Namjoo </v>
      </c>
      <c r="P328" s="32" t="s">
        <v>1797</v>
      </c>
      <c r="Q328" s="32" t="s">
        <v>2256</v>
      </c>
      <c r="R328" s="32" t="str">
        <f>IFERROR(VLOOKUP($I328,[1]DB2!$F$2:$I$58,2,0),"옛날 부서명 확인")</f>
        <v xml:space="preserve">Climate and Energy Assessment Division </v>
      </c>
      <c r="S328" s="32" t="str">
        <f>IFERROR(VLOOKUP($I328,[1]DB2!$F$2:$I$58,4,0),"옛날 부서명 확인")</f>
        <v xml:space="preserve">Environmental Assessment Group </v>
      </c>
    </row>
    <row r="329" spans="1:19" ht="18" customHeight="1">
      <c r="A329" s="15"/>
      <c r="B329" s="20" t="s">
        <v>840</v>
      </c>
      <c r="C329" s="20" t="s">
        <v>1939</v>
      </c>
      <c r="D329" s="39" t="s">
        <v>879</v>
      </c>
      <c r="E329" s="16"/>
      <c r="F329" s="16" t="s">
        <v>484</v>
      </c>
      <c r="G329" s="20" t="s">
        <v>485</v>
      </c>
      <c r="H329" s="16" t="s">
        <v>486</v>
      </c>
      <c r="I329" s="21" t="s">
        <v>487</v>
      </c>
      <c r="J329" s="22">
        <v>80016000</v>
      </c>
      <c r="K329" s="23">
        <v>46023</v>
      </c>
      <c r="L329" s="23">
        <v>46387</v>
      </c>
      <c r="M329" s="16"/>
      <c r="N329" s="40" t="s">
        <v>2216</v>
      </c>
      <c r="O329" s="32" t="str">
        <f>IFERROR(VLOOKUP($G329,[1]DB2!$A:$B,2,0),"공동과책 확인")</f>
        <v>Lee, Sangbum</v>
      </c>
      <c r="P329" s="32" t="s">
        <v>1796</v>
      </c>
      <c r="Q329" s="32"/>
      <c r="R329" s="32" t="str">
        <f>IFERROR(VLOOKUP($I329,[1]DB2!$F$2:$I$58,2,0),"옛날 부서명 확인")</f>
        <v xml:space="preserve">Environmental Assessment Group </v>
      </c>
      <c r="S329" s="32" t="str">
        <f>IFERROR(VLOOKUP($I329,[1]DB2!$F$2:$I$58,4,0),"옛날 부서명 확인")</f>
        <v xml:space="preserve">Environmental Assessment Group </v>
      </c>
    </row>
    <row r="330" spans="1:19" ht="18" customHeight="1">
      <c r="A330" s="15"/>
      <c r="B330" s="20" t="s">
        <v>840</v>
      </c>
      <c r="C330" s="20" t="s">
        <v>1940</v>
      </c>
      <c r="D330" s="39" t="s">
        <v>881</v>
      </c>
      <c r="E330" s="16"/>
      <c r="F330" s="16" t="s">
        <v>484</v>
      </c>
      <c r="G330" s="20" t="s">
        <v>485</v>
      </c>
      <c r="H330" s="16" t="s">
        <v>486</v>
      </c>
      <c r="I330" s="21" t="s">
        <v>487</v>
      </c>
      <c r="J330" s="22">
        <v>284629000</v>
      </c>
      <c r="K330" s="23">
        <v>46023</v>
      </c>
      <c r="L330" s="23">
        <v>46387</v>
      </c>
      <c r="M330" s="16"/>
      <c r="N330" s="40" t="s">
        <v>2217</v>
      </c>
      <c r="O330" s="32" t="str">
        <f>IFERROR(VLOOKUP($G330,[1]DB2!$A:$B,2,0),"공동과책 확인")</f>
        <v>Lee, Sangbum</v>
      </c>
      <c r="P330" s="32" t="s">
        <v>1796</v>
      </c>
      <c r="Q330" s="32"/>
      <c r="R330" s="32" t="str">
        <f>IFERROR(VLOOKUP($I330,[1]DB2!$F$2:$I$58,2,0),"옛날 부서명 확인")</f>
        <v xml:space="preserve">Environmental Assessment Group </v>
      </c>
      <c r="S330" s="32" t="str">
        <f>IFERROR(VLOOKUP($I330,[1]DB2!$F$2:$I$58,4,0),"옛날 부서명 확인")</f>
        <v xml:space="preserve">Environmental Assessment Group </v>
      </c>
    </row>
    <row r="331" spans="1:19" ht="18" customHeight="1">
      <c r="A331" s="15"/>
      <c r="B331" s="20" t="s">
        <v>840</v>
      </c>
      <c r="C331" s="20" t="s">
        <v>1941</v>
      </c>
      <c r="D331" s="39" t="s">
        <v>2088</v>
      </c>
      <c r="E331" s="16"/>
      <c r="F331" s="16" t="s">
        <v>1942</v>
      </c>
      <c r="G331" s="20" t="s">
        <v>1110</v>
      </c>
      <c r="H331" s="16" t="s">
        <v>327</v>
      </c>
      <c r="I331" s="21" t="s">
        <v>328</v>
      </c>
      <c r="J331" s="22">
        <v>300000000</v>
      </c>
      <c r="K331" s="23">
        <v>46023</v>
      </c>
      <c r="L331" s="23">
        <v>46387</v>
      </c>
      <c r="M331" s="16"/>
      <c r="N331" s="40" t="s">
        <v>2218</v>
      </c>
      <c r="O331" s="32" t="str">
        <f>IFERROR(VLOOKUP($G331,[1]DB2!$A:$B,2,0),"공동과책 확인")</f>
        <v>Shim, Changsub</v>
      </c>
      <c r="P331" s="32" t="s">
        <v>1799</v>
      </c>
      <c r="Q331" s="32" t="s">
        <v>2257</v>
      </c>
      <c r="R331" s="32" t="str">
        <f>IFERROR(VLOOKUP($I331,[1]DB2!$F$2:$I$58,2,0),"옛날 부서명 확인")</f>
        <v xml:space="preserve">Climate and Atmospheric Strategy Research Group  </v>
      </c>
      <c r="S331" s="32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5"/>
      <c r="B332" s="20" t="s">
        <v>836</v>
      </c>
      <c r="C332" s="20" t="s">
        <v>1943</v>
      </c>
      <c r="D332" s="39" t="s">
        <v>2089</v>
      </c>
      <c r="E332" s="16"/>
      <c r="F332" s="16" t="s">
        <v>181</v>
      </c>
      <c r="G332" s="20" t="s">
        <v>182</v>
      </c>
      <c r="H332" s="16" t="s">
        <v>332</v>
      </c>
      <c r="I332" s="21" t="s">
        <v>333</v>
      </c>
      <c r="J332" s="22">
        <v>30000000</v>
      </c>
      <c r="K332" s="23">
        <v>46023</v>
      </c>
      <c r="L332" s="23">
        <v>46387</v>
      </c>
      <c r="M332" s="16"/>
      <c r="N332" s="40" t="s">
        <v>2306</v>
      </c>
      <c r="O332" s="32" t="str">
        <f>IFERROR(VLOOKUP($G332,[1]DB2!$A:$B,2,0),"공동과책 확인")</f>
        <v>Kim, Hyunno</v>
      </c>
      <c r="P332" s="32" t="s">
        <v>1800</v>
      </c>
      <c r="Q332" s="32" t="s">
        <v>2255</v>
      </c>
      <c r="R332" s="32" t="str">
        <f>IFERROR(VLOOKUP($I332,[1]DB2!$F$2:$I$58,2,0),"옛날 부서명 확인")</f>
        <v xml:space="preserve">Green Economy Division </v>
      </c>
      <c r="S332" s="32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5"/>
      <c r="B333" s="20" t="s">
        <v>836</v>
      </c>
      <c r="C333" s="20" t="s">
        <v>1944</v>
      </c>
      <c r="D333" s="39" t="s">
        <v>2090</v>
      </c>
      <c r="E333" s="16"/>
      <c r="F333" s="16" t="s">
        <v>225</v>
      </c>
      <c r="G333" s="20" t="s">
        <v>226</v>
      </c>
      <c r="H333" s="16" t="s">
        <v>243</v>
      </c>
      <c r="I333" s="21" t="s">
        <v>147</v>
      </c>
      <c r="J333" s="22">
        <v>30000000</v>
      </c>
      <c r="K333" s="23">
        <v>46023</v>
      </c>
      <c r="L333" s="23">
        <v>46387</v>
      </c>
      <c r="M333" s="16"/>
      <c r="N333" s="44" t="s">
        <v>2368</v>
      </c>
      <c r="O333" s="32" t="str">
        <f>IFERROR(VLOOKUP($G333,[1]DB2!$A:$B,2,0),"공동과책 확인")</f>
        <v xml:space="preserve">Jung, Dawoon </v>
      </c>
      <c r="P333" s="32" t="s">
        <v>2281</v>
      </c>
      <c r="Q333" s="32"/>
      <c r="R333" s="32" t="str">
        <f>IFERROR(VLOOKUP($I333,[1]DB2!$F$2:$I$58,2,0),"옛날 부서명 확인")</f>
        <v xml:space="preserve">Environmental Health Division </v>
      </c>
      <c r="S333" s="32" t="str">
        <f>IFERROR(VLOOKUP($I333,[1]DB2!$F$2:$I$58,4,0),"옛날 부서명 확인")</f>
        <v xml:space="preserve">Sustainable Development Research Group  </v>
      </c>
    </row>
    <row r="334" spans="1:19" ht="18" customHeight="1">
      <c r="A334" s="15"/>
      <c r="B334" s="20" t="s">
        <v>836</v>
      </c>
      <c r="C334" s="20" t="s">
        <v>1945</v>
      </c>
      <c r="D334" s="39" t="s">
        <v>2091</v>
      </c>
      <c r="E334" s="16"/>
      <c r="F334" s="16" t="s">
        <v>236</v>
      </c>
      <c r="G334" s="20" t="s">
        <v>237</v>
      </c>
      <c r="H334" s="16" t="s">
        <v>208</v>
      </c>
      <c r="I334" s="21" t="s">
        <v>209</v>
      </c>
      <c r="J334" s="22">
        <v>30000000</v>
      </c>
      <c r="K334" s="23">
        <v>46023</v>
      </c>
      <c r="L334" s="23">
        <v>46387</v>
      </c>
      <c r="M334" s="16"/>
      <c r="N334" s="40" t="s">
        <v>2092</v>
      </c>
      <c r="O334" s="32" t="str">
        <f>IFERROR(VLOOKUP($G334,[1]DB2!$A:$B,2,0),"공동과책 확인")</f>
        <v>Choi, Hee-Sun</v>
      </c>
      <c r="P334" s="32" t="s">
        <v>2255</v>
      </c>
      <c r="Q334" s="32" t="s">
        <v>2256</v>
      </c>
      <c r="R334" s="32" t="str">
        <f>IFERROR(VLOOKUP($I334,[1]DB2!$F$2:$I$58,2,0),"옛날 부서명 확인")</f>
        <v>Spatial Planning and Management Division</v>
      </c>
      <c r="S334" s="32" t="str">
        <f>IFERROR(VLOOKUP($I334,[1]DB2!$F$2:$I$58,4,0),"옛날 부서명 확인")</f>
        <v xml:space="preserve">Land and Environment Research Group </v>
      </c>
    </row>
    <row r="335" spans="1:19" ht="18" customHeight="1">
      <c r="A335" s="15"/>
      <c r="B335" s="20" t="s">
        <v>950</v>
      </c>
      <c r="C335" s="20" t="s">
        <v>1946</v>
      </c>
      <c r="D335" s="39" t="s">
        <v>951</v>
      </c>
      <c r="E335" s="16"/>
      <c r="F335" s="16" t="s">
        <v>800</v>
      </c>
      <c r="G335" s="20" t="s">
        <v>801</v>
      </c>
      <c r="H335" s="16" t="s">
        <v>787</v>
      </c>
      <c r="I335" s="21" t="s">
        <v>788</v>
      </c>
      <c r="J335" s="22">
        <v>90079000</v>
      </c>
      <c r="K335" s="23">
        <v>46023</v>
      </c>
      <c r="L335" s="23">
        <v>46387</v>
      </c>
      <c r="M335" s="16"/>
      <c r="N335" s="40" t="s">
        <v>2219</v>
      </c>
      <c r="O335" s="32" t="str">
        <f>IFERROR(VLOOKUP($G335,[1]DB2!$A:$B,2,0),"공동과책 확인")</f>
        <v>Park, Jun Hyun</v>
      </c>
      <c r="P335" s="32" t="s">
        <v>2259</v>
      </c>
      <c r="Q335" s="32" t="s">
        <v>2258</v>
      </c>
      <c r="R335" s="32" t="str">
        <f>IFERROR(VLOOKUP($I335,[1]DB2!$F$2:$I$58,2,0),"옛날 부서명 확인")</f>
        <v>Global Cooperation Team</v>
      </c>
      <c r="S335" s="32" t="str">
        <f>IFERROR(VLOOKUP($I335,[1]DB2!$F$2:$I$58,4,0),"옛날 부서명 확인")</f>
        <v xml:space="preserve">Department of Planning and Strategy </v>
      </c>
    </row>
    <row r="336" spans="1:19" ht="18" customHeight="1">
      <c r="A336" s="15"/>
      <c r="B336" s="20" t="s">
        <v>21</v>
      </c>
      <c r="C336" s="20" t="s">
        <v>1886</v>
      </c>
      <c r="D336" s="39" t="s">
        <v>1887</v>
      </c>
      <c r="E336" s="16"/>
      <c r="F336" s="16" t="s">
        <v>561</v>
      </c>
      <c r="G336" s="20" t="s">
        <v>562</v>
      </c>
      <c r="H336" s="16" t="s">
        <v>254</v>
      </c>
      <c r="I336" s="21" t="s">
        <v>255</v>
      </c>
      <c r="J336" s="22">
        <v>76000000</v>
      </c>
      <c r="K336" s="23">
        <v>46036</v>
      </c>
      <c r="L336" s="23">
        <v>46151</v>
      </c>
      <c r="M336" s="16" t="s">
        <v>1888</v>
      </c>
      <c r="N336" s="40" t="s">
        <v>2220</v>
      </c>
      <c r="O336" s="32" t="str">
        <f>IFERROR(VLOOKUP($G336,[1]DB2!$A:$B,2,0),"공동과책 확인")</f>
        <v>Jo, Ji Hye</v>
      </c>
      <c r="P336" s="32" t="s">
        <v>2157</v>
      </c>
      <c r="Q336" s="32" t="s">
        <v>2259</v>
      </c>
      <c r="R336" s="32" t="str">
        <f>IFERROR(VLOOKUP($I336,[1]DB2!$F$2:$I$58,2,0),"옛날 부서명 확인")</f>
        <v xml:space="preserve">Circular Economy Division </v>
      </c>
      <c r="S336" s="32" t="str">
        <f>IFERROR(VLOOKUP($I336,[1]DB2!$F$2:$I$58,4,0),"옛날 부서명 확인")</f>
        <v xml:space="preserve">Sustainable Development Research Group  </v>
      </c>
    </row>
    <row r="337" spans="1:19" ht="18" customHeight="1">
      <c r="A337" s="15"/>
      <c r="B337" s="20" t="s">
        <v>21</v>
      </c>
      <c r="C337" s="20" t="s">
        <v>1894</v>
      </c>
      <c r="D337" s="39" t="s">
        <v>2093</v>
      </c>
      <c r="E337" s="16"/>
      <c r="F337" s="16" t="s">
        <v>278</v>
      </c>
      <c r="G337" s="20" t="s">
        <v>279</v>
      </c>
      <c r="H337" s="16" t="s">
        <v>198</v>
      </c>
      <c r="I337" s="21" t="s">
        <v>199</v>
      </c>
      <c r="J337" s="22">
        <v>98910000</v>
      </c>
      <c r="K337" s="23">
        <v>46065</v>
      </c>
      <c r="L337" s="23">
        <v>46356</v>
      </c>
      <c r="M337" s="16" t="s">
        <v>722</v>
      </c>
      <c r="N337" s="40" t="s">
        <v>2094</v>
      </c>
      <c r="O337" s="32" t="str">
        <f>IFERROR(VLOOKUP($G337,[1]DB2!$A:$B,2,0),"공동과책 확인")</f>
        <v>Ryu, Jaena</v>
      </c>
      <c r="P337" s="32" t="s">
        <v>1801</v>
      </c>
      <c r="Q337" s="32"/>
      <c r="R337" s="32" t="str">
        <f>IFERROR(VLOOKUP($I337,[1]DB2!$F$2:$I$58,2,0),"옛날 부서명 확인")</f>
        <v xml:space="preserve">Water Management Division </v>
      </c>
      <c r="S337" s="32" t="str">
        <f>IFERROR(VLOOKUP($I337,[1]DB2!$F$2:$I$58,4,0),"옛날 부서명 확인")</f>
        <v xml:space="preserve">Land and Environment Research Group </v>
      </c>
    </row>
    <row r="338" spans="1:19" ht="18" customHeight="1">
      <c r="A338" s="15"/>
      <c r="B338" s="20" t="s">
        <v>21</v>
      </c>
      <c r="C338" s="20" t="s">
        <v>1895</v>
      </c>
      <c r="D338" s="39" t="s">
        <v>2095</v>
      </c>
      <c r="E338" s="16"/>
      <c r="F338" s="16" t="s">
        <v>399</v>
      </c>
      <c r="G338" s="20" t="s">
        <v>400</v>
      </c>
      <c r="H338" s="16" t="s">
        <v>343</v>
      </c>
      <c r="I338" s="21" t="s">
        <v>191</v>
      </c>
      <c r="J338" s="22">
        <v>63636360</v>
      </c>
      <c r="K338" s="23">
        <v>46065</v>
      </c>
      <c r="L338" s="23">
        <v>46368</v>
      </c>
      <c r="M338" s="16" t="s">
        <v>1818</v>
      </c>
      <c r="N338" s="40" t="s">
        <v>2096</v>
      </c>
      <c r="O338" s="32" t="str">
        <f>IFERROR(VLOOKUP($G338,[1]DB2!$A:$B,2,0),"공동과책 확인")</f>
        <v>Lee, Seungmin</v>
      </c>
      <c r="P338" s="32" t="s">
        <v>2255</v>
      </c>
      <c r="Q338" s="32"/>
      <c r="R338" s="32" t="str">
        <f>IFERROR(VLOOKUP($I338,[1]DB2!$F$2:$I$58,2,0),"옛날 부서명 확인")</f>
        <v>Atmospheric Environment Division</v>
      </c>
      <c r="S338" s="32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5"/>
      <c r="B339" s="20" t="s">
        <v>21</v>
      </c>
      <c r="C339" s="20" t="s">
        <v>1896</v>
      </c>
      <c r="D339" s="39" t="s">
        <v>2097</v>
      </c>
      <c r="E339" s="16"/>
      <c r="F339" s="16" t="s">
        <v>158</v>
      </c>
      <c r="G339" s="20" t="s">
        <v>159</v>
      </c>
      <c r="H339" s="16" t="s">
        <v>593</v>
      </c>
      <c r="I339" s="21" t="s">
        <v>594</v>
      </c>
      <c r="J339" s="22">
        <v>1322727270</v>
      </c>
      <c r="K339" s="23">
        <v>46072</v>
      </c>
      <c r="L339" s="23">
        <v>46368</v>
      </c>
      <c r="M339" s="16" t="s">
        <v>286</v>
      </c>
      <c r="N339" s="40" t="s">
        <v>2098</v>
      </c>
      <c r="O339" s="32" t="str">
        <f>IFERROR(VLOOKUP($G339,[1]DB2!$A:$B,2,0),"공동과책 확인")</f>
        <v>Park, Chang Sug</v>
      </c>
      <c r="P339" s="32" t="s">
        <v>2259</v>
      </c>
      <c r="Q339" s="32"/>
      <c r="R339" s="32" t="str">
        <f>IFERROR(VLOOKUP($I339,[1]DB2!$F$2:$I$58,2,0),"옛날 부서명 확인")</f>
        <v>Executive Office</v>
      </c>
      <c r="S339" s="32" t="str">
        <f>IFERROR(VLOOKUP($I339,[1]DB2!$F$2:$I$58,4,0),"옛날 부서명 확인")</f>
        <v>Executive Office</v>
      </c>
    </row>
    <row r="340" spans="1:19" ht="18" customHeight="1">
      <c r="A340" s="15"/>
      <c r="B340" s="20" t="s">
        <v>21</v>
      </c>
      <c r="C340" s="20" t="s">
        <v>1897</v>
      </c>
      <c r="D340" s="39" t="s">
        <v>2099</v>
      </c>
      <c r="E340" s="16"/>
      <c r="F340" s="16" t="s">
        <v>1898</v>
      </c>
      <c r="G340" s="20" t="s">
        <v>1899</v>
      </c>
      <c r="H340" s="16" t="s">
        <v>476</v>
      </c>
      <c r="I340" s="21" t="s">
        <v>477</v>
      </c>
      <c r="J340" s="22">
        <v>150000000</v>
      </c>
      <c r="K340" s="23">
        <v>46078</v>
      </c>
      <c r="L340" s="23">
        <v>46387</v>
      </c>
      <c r="M340" s="16" t="s">
        <v>1822</v>
      </c>
      <c r="N340" s="40" t="s">
        <v>2100</v>
      </c>
      <c r="O340" s="32" t="str">
        <f>IFERROR(VLOOKUP($G340,[1]DB2!$A:$B,2,0),"공동과책 확인")</f>
        <v xml:space="preserve">Kim, Dohyeong </v>
      </c>
      <c r="P340" s="32" t="s">
        <v>1796</v>
      </c>
      <c r="Q340" s="32" t="s">
        <v>2255</v>
      </c>
      <c r="R340" s="32" t="str">
        <f>IFERROR(VLOOKUP($I340,[1]DB2!$F$2:$I$58,2,0),"옛날 부서명 확인")</f>
        <v xml:space="preserve">Environmental Resources Assessment Division </v>
      </c>
      <c r="S340" s="32" t="str">
        <f>IFERROR(VLOOKUP($I340,[1]DB2!$F$2:$I$58,4,0),"옛날 부서명 확인")</f>
        <v xml:space="preserve">Environmental Assessment Group </v>
      </c>
    </row>
    <row r="341" spans="1:19" ht="18" customHeight="1">
      <c r="A341" s="15"/>
      <c r="B341" s="20" t="s">
        <v>21</v>
      </c>
      <c r="C341" s="20" t="s">
        <v>1900</v>
      </c>
      <c r="D341" s="39" t="s">
        <v>2101</v>
      </c>
      <c r="E341" s="16"/>
      <c r="F341" s="16" t="s">
        <v>1901</v>
      </c>
      <c r="G341" s="20" t="s">
        <v>1246</v>
      </c>
      <c r="H341" s="16" t="s">
        <v>425</v>
      </c>
      <c r="I341" s="21" t="s">
        <v>124</v>
      </c>
      <c r="J341" s="22">
        <v>58000000</v>
      </c>
      <c r="K341" s="23">
        <v>46087</v>
      </c>
      <c r="L341" s="23">
        <v>46326</v>
      </c>
      <c r="M341" s="16" t="s">
        <v>1818</v>
      </c>
      <c r="N341" s="40" t="s">
        <v>2102</v>
      </c>
      <c r="O341" s="32" t="str">
        <f>IFERROR(VLOOKUP($G341,[1]DB2!$A:$B,2,0),"공동과책 확인")</f>
        <v xml:space="preserve">Lim, Hyungwoo </v>
      </c>
      <c r="P341" s="32" t="s">
        <v>1800</v>
      </c>
      <c r="Q341" s="32" t="s">
        <v>2255</v>
      </c>
      <c r="R341" s="32" t="str">
        <f>IFERROR(VLOOKUP($I341,[1]DB2!$F$2:$I$58,2,0),"옛날 부서명 확인")</f>
        <v xml:space="preserve">Carbon Neutrality Division </v>
      </c>
      <c r="S341" s="32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5"/>
      <c r="B342" s="20" t="s">
        <v>21</v>
      </c>
      <c r="C342" s="20" t="s">
        <v>1902</v>
      </c>
      <c r="D342" s="39" t="s">
        <v>2103</v>
      </c>
      <c r="E342" s="16"/>
      <c r="F342" s="16" t="s">
        <v>273</v>
      </c>
      <c r="G342" s="20" t="s">
        <v>274</v>
      </c>
      <c r="H342" s="16" t="s">
        <v>198</v>
      </c>
      <c r="I342" s="21" t="s">
        <v>199</v>
      </c>
      <c r="J342" s="22">
        <v>136363630</v>
      </c>
      <c r="K342" s="23">
        <v>46097</v>
      </c>
      <c r="L342" s="23">
        <v>46319</v>
      </c>
      <c r="M342" s="16" t="s">
        <v>631</v>
      </c>
      <c r="N342" s="40" t="s">
        <v>2104</v>
      </c>
      <c r="O342" s="32" t="str">
        <f>IFERROR(VLOOKUP($G342,[1]DB2!$A:$B,2,0),"공동과책 확인")</f>
        <v>Jeon, Dongjin</v>
      </c>
      <c r="P342" s="32" t="s">
        <v>1800</v>
      </c>
      <c r="Q342" s="32" t="s">
        <v>1801</v>
      </c>
      <c r="R342" s="32" t="str">
        <f>IFERROR(VLOOKUP($I342,[1]DB2!$F$2:$I$58,2,0),"옛날 부서명 확인")</f>
        <v xml:space="preserve">Water Management Division </v>
      </c>
      <c r="S342" s="32" t="str">
        <f>IFERROR(VLOOKUP($I342,[1]DB2!$F$2:$I$58,4,0),"옛날 부서명 확인")</f>
        <v xml:space="preserve">Land and Environment Research Group </v>
      </c>
    </row>
    <row r="343" spans="1:19" ht="18" customHeight="1">
      <c r="A343" s="15"/>
      <c r="B343" s="20" t="s">
        <v>953</v>
      </c>
      <c r="C343" s="20" t="s">
        <v>1947</v>
      </c>
      <c r="D343" s="39" t="s">
        <v>2105</v>
      </c>
      <c r="E343" s="16"/>
      <c r="F343" s="16" t="s">
        <v>744</v>
      </c>
      <c r="G343" s="20" t="s">
        <v>745</v>
      </c>
      <c r="H343" s="16" t="s">
        <v>243</v>
      </c>
      <c r="I343" s="21" t="s">
        <v>147</v>
      </c>
      <c r="J343" s="22">
        <v>15000000</v>
      </c>
      <c r="K343" s="23">
        <v>46097</v>
      </c>
      <c r="L343" s="23">
        <v>46376</v>
      </c>
      <c r="M343" s="16"/>
      <c r="N343" s="40" t="s">
        <v>2308</v>
      </c>
      <c r="O343" s="32" t="str">
        <f>IFERROR(VLOOKUP($G343,[1]DB2!$A:$B,2,0),"공동과책 확인")</f>
        <v xml:space="preserve"> Lim, Miyoung</v>
      </c>
      <c r="P343" s="32" t="s">
        <v>2281</v>
      </c>
      <c r="Q343" s="32"/>
      <c r="R343" s="32" t="str">
        <f>IFERROR(VLOOKUP($I343,[1]DB2!$F$2:$I$58,2,0),"옛날 부서명 확인")</f>
        <v xml:space="preserve">Environmental Health Division </v>
      </c>
      <c r="S343" s="32" t="str">
        <f>IFERROR(VLOOKUP($I343,[1]DB2!$F$2:$I$58,4,0),"옛날 부서명 확인")</f>
        <v xml:space="preserve">Sustainable Development Research Group  </v>
      </c>
    </row>
    <row r="344" spans="1:19" ht="18" customHeight="1">
      <c r="A344" s="15"/>
      <c r="B344" s="20" t="s">
        <v>953</v>
      </c>
      <c r="C344" s="20" t="s">
        <v>1948</v>
      </c>
      <c r="D344" s="39" t="s">
        <v>2106</v>
      </c>
      <c r="E344" s="16"/>
      <c r="F344" s="16" t="s">
        <v>969</v>
      </c>
      <c r="G344" s="20" t="s">
        <v>970</v>
      </c>
      <c r="H344" s="16" t="s">
        <v>208</v>
      </c>
      <c r="I344" s="21" t="s">
        <v>209</v>
      </c>
      <c r="J344" s="22">
        <v>15000000</v>
      </c>
      <c r="K344" s="23">
        <v>46097</v>
      </c>
      <c r="L344" s="23">
        <v>46280</v>
      </c>
      <c r="M344" s="16"/>
      <c r="N344" s="40" t="s">
        <v>2307</v>
      </c>
      <c r="O344" s="32" t="str">
        <f>IFERROR(VLOOKUP($G344,[1]DB2!$A:$B,2,0),"공동과책 확인")</f>
        <v>Lee, Ji-Young</v>
      </c>
      <c r="P344" s="32" t="s">
        <v>2256</v>
      </c>
      <c r="Q344" s="32" t="s">
        <v>1797</v>
      </c>
      <c r="R344" s="32" t="str">
        <f>IFERROR(VLOOKUP($I344,[1]DB2!$F$2:$I$58,2,0),"옛날 부서명 확인")</f>
        <v>Spatial Planning and Management Division</v>
      </c>
      <c r="S344" s="32" t="str">
        <f>IFERROR(VLOOKUP($I344,[1]DB2!$F$2:$I$58,4,0),"옛날 부서명 확인")</f>
        <v xml:space="preserve">Land and Environment Research Group </v>
      </c>
    </row>
    <row r="345" spans="1:19" ht="18" customHeight="1">
      <c r="A345" s="15"/>
      <c r="B345" s="20" t="s">
        <v>953</v>
      </c>
      <c r="C345" s="20" t="s">
        <v>1949</v>
      </c>
      <c r="D345" s="39" t="s">
        <v>2107</v>
      </c>
      <c r="E345" s="16"/>
      <c r="F345" s="16" t="s">
        <v>683</v>
      </c>
      <c r="G345" s="20" t="s">
        <v>684</v>
      </c>
      <c r="H345" s="16" t="s">
        <v>32</v>
      </c>
      <c r="I345" s="21" t="s">
        <v>27</v>
      </c>
      <c r="J345" s="22">
        <v>15000000</v>
      </c>
      <c r="K345" s="23">
        <v>46097</v>
      </c>
      <c r="L345" s="23">
        <v>46280</v>
      </c>
      <c r="M345" s="16"/>
      <c r="N345" s="40" t="s">
        <v>2310</v>
      </c>
      <c r="O345" s="32" t="str">
        <f>IFERROR(VLOOKUP($G345,[1]DB2!$A:$B,2,0),"공동과책 확인")</f>
        <v>Kim, Yoonjung</v>
      </c>
      <c r="P345" s="32" t="s">
        <v>1797</v>
      </c>
      <c r="Q345" s="32" t="s">
        <v>1798</v>
      </c>
      <c r="R345" s="32" t="str">
        <f>IFERROR(VLOOKUP($I345,[1]DB2!$F$2:$I$58,2,0),"옛날 부서명 확인")</f>
        <v xml:space="preserve">Natural Environment Division </v>
      </c>
      <c r="S345" s="32" t="str">
        <f>IFERROR(VLOOKUP($I345,[1]DB2!$F$2:$I$58,4,0),"옛날 부서명 확인")</f>
        <v xml:space="preserve">Land and Environment Research Group </v>
      </c>
    </row>
    <row r="346" spans="1:19" ht="18" customHeight="1">
      <c r="A346" s="28"/>
      <c r="B346" s="29" t="s">
        <v>21</v>
      </c>
      <c r="C346" s="29" t="s">
        <v>2123</v>
      </c>
      <c r="D346" s="26" t="s">
        <v>2153</v>
      </c>
      <c r="E346" s="26"/>
      <c r="F346" s="26" t="s">
        <v>70</v>
      </c>
      <c r="G346" s="29" t="s">
        <v>71</v>
      </c>
      <c r="H346" s="26" t="s">
        <v>72</v>
      </c>
      <c r="I346" s="26" t="s">
        <v>73</v>
      </c>
      <c r="J346" s="30">
        <v>3855000000</v>
      </c>
      <c r="K346" s="31">
        <v>46006</v>
      </c>
      <c r="L346" s="31">
        <v>47466</v>
      </c>
      <c r="M346" s="26" t="s">
        <v>2154</v>
      </c>
      <c r="N346" s="37" t="s">
        <v>2155</v>
      </c>
      <c r="O346" s="32" t="str">
        <f>IFERROR(VLOOKUP($G346,[1]DB2!$A:$B,2,0),"공동과책 확인")</f>
        <v>Cho, Hanna</v>
      </c>
      <c r="P346" s="32" t="s">
        <v>1798</v>
      </c>
      <c r="Q346" s="32" t="s">
        <v>2258</v>
      </c>
      <c r="R346" s="32" t="str">
        <f>IFERROR(VLOOKUP($I346,[1]DB2!$F$2:$I$58,2,0),"옛날 부서명 확인")</f>
        <v xml:space="preserve">Climate Adaptation Cooperation Division </v>
      </c>
      <c r="S346" s="32" t="str">
        <f>IFERROR(VLOOKUP($I346,[1]DB2!$F$2:$I$58,4,0),"옛날 부서명 확인")</f>
        <v xml:space="preserve">Korea Adaptation Center for Climate Change </v>
      </c>
    </row>
    <row r="347" spans="1:19" ht="18" customHeight="1">
      <c r="A347" s="28"/>
      <c r="B347" s="29" t="s">
        <v>21</v>
      </c>
      <c r="C347" s="29" t="s">
        <v>2124</v>
      </c>
      <c r="D347" s="26" t="s">
        <v>2160</v>
      </c>
      <c r="E347" s="26"/>
      <c r="F347" s="26" t="s">
        <v>348</v>
      </c>
      <c r="G347" s="29" t="s">
        <v>349</v>
      </c>
      <c r="H347" s="26" t="s">
        <v>32</v>
      </c>
      <c r="I347" s="26" t="s">
        <v>27</v>
      </c>
      <c r="J347" s="30">
        <v>150000000</v>
      </c>
      <c r="K347" s="31">
        <v>46023</v>
      </c>
      <c r="L347" s="31">
        <v>47483</v>
      </c>
      <c r="M347" s="26" t="s">
        <v>350</v>
      </c>
      <c r="N347" s="37" t="s">
        <v>2161</v>
      </c>
      <c r="O347" s="32" t="str">
        <f>IFERROR(VLOOKUP($G347,[1]DB2!$A:$B,2,0),"공동과책 확인")</f>
        <v>Kim, Choong-ki</v>
      </c>
      <c r="P347" s="32" t="s">
        <v>1798</v>
      </c>
      <c r="Q347" s="32" t="s">
        <v>2283</v>
      </c>
      <c r="R347" s="32" t="str">
        <f>IFERROR(VLOOKUP($I347,[1]DB2!$F$2:$I$58,2,0),"옛날 부서명 확인")</f>
        <v xml:space="preserve">Natural Environment Division </v>
      </c>
      <c r="S347" s="32" t="str">
        <f>IFERROR(VLOOKUP($I347,[1]DB2!$F$2:$I$58,4,0),"옛날 부서명 확인")</f>
        <v xml:space="preserve">Land and Environment Research Group </v>
      </c>
    </row>
    <row r="348" spans="1:19" ht="18" customHeight="1">
      <c r="A348" s="28"/>
      <c r="B348" s="29" t="s">
        <v>21</v>
      </c>
      <c r="C348" s="29" t="s">
        <v>2125</v>
      </c>
      <c r="D348" s="26" t="s">
        <v>2162</v>
      </c>
      <c r="E348" s="26"/>
      <c r="F348" s="26" t="s">
        <v>63</v>
      </c>
      <c r="G348" s="29" t="s">
        <v>64</v>
      </c>
      <c r="H348" s="26" t="s">
        <v>198</v>
      </c>
      <c r="I348" s="26" t="s">
        <v>199</v>
      </c>
      <c r="J348" s="30">
        <v>89350000</v>
      </c>
      <c r="K348" s="31">
        <v>46082</v>
      </c>
      <c r="L348" s="31">
        <v>46446</v>
      </c>
      <c r="M348" s="26" t="s">
        <v>59</v>
      </c>
      <c r="N348" s="37" t="s">
        <v>2297</v>
      </c>
      <c r="O348" s="32" t="str">
        <f>IFERROR(VLOOKUP($G348,[1]DB2!$A:$B,2,0),"공동과책 확인")</f>
        <v xml:space="preserve">Jung, Kichul </v>
      </c>
      <c r="P348" s="32" t="s">
        <v>1801</v>
      </c>
      <c r="Q348" s="32" t="s">
        <v>1800</v>
      </c>
      <c r="R348" s="32" t="str">
        <f>IFERROR(VLOOKUP($I348,[1]DB2!$F$2:$I$58,2,0),"옛날 부서명 확인")</f>
        <v xml:space="preserve">Water Management Division </v>
      </c>
      <c r="S348" s="32" t="str">
        <f>IFERROR(VLOOKUP($I348,[1]DB2!$F$2:$I$58,4,0),"옛날 부서명 확인")</f>
        <v xml:space="preserve">Land and Environment Research Group </v>
      </c>
    </row>
    <row r="349" spans="1:19" ht="18" customHeight="1">
      <c r="A349" s="28"/>
      <c r="B349" s="29" t="s">
        <v>21</v>
      </c>
      <c r="C349" s="29" t="s">
        <v>2126</v>
      </c>
      <c r="D349" s="26" t="s">
        <v>2163</v>
      </c>
      <c r="E349" s="26"/>
      <c r="F349" s="26" t="s">
        <v>2127</v>
      </c>
      <c r="G349" s="29" t="s">
        <v>2128</v>
      </c>
      <c r="H349" s="26" t="s">
        <v>476</v>
      </c>
      <c r="I349" s="26" t="s">
        <v>477</v>
      </c>
      <c r="J349" s="30">
        <v>49700000</v>
      </c>
      <c r="K349" s="31">
        <v>46097</v>
      </c>
      <c r="L349" s="31">
        <v>46398</v>
      </c>
      <c r="M349" s="26" t="s">
        <v>2129</v>
      </c>
      <c r="N349" s="37" t="s">
        <v>2165</v>
      </c>
      <c r="O349" s="32" t="str">
        <f>IFERROR(VLOOKUP($G349,[1]DB2!$A:$B,2,0),"공동과책 확인")</f>
        <v xml:space="preserve">Choi, Hyun-Jin </v>
      </c>
      <c r="P349" s="32" t="s">
        <v>1796</v>
      </c>
      <c r="Q349" s="32" t="s">
        <v>1800</v>
      </c>
      <c r="R349" s="32" t="str">
        <f>IFERROR(VLOOKUP($I349,[1]DB2!$F$2:$I$58,2,0),"옛날 부서명 확인")</f>
        <v xml:space="preserve">Environmental Resources Assessment Division </v>
      </c>
      <c r="S349" s="32" t="str">
        <f>IFERROR(VLOOKUP($I349,[1]DB2!$F$2:$I$58,4,0),"옛날 부서명 확인")</f>
        <v xml:space="preserve">Environmental Assessment Group </v>
      </c>
    </row>
    <row r="350" spans="1:19" ht="18" customHeight="1">
      <c r="A350" s="28"/>
      <c r="B350" s="29" t="s">
        <v>21</v>
      </c>
      <c r="C350" s="29" t="s">
        <v>2130</v>
      </c>
      <c r="D350" s="26" t="s">
        <v>2164</v>
      </c>
      <c r="E350" s="26"/>
      <c r="F350" s="26" t="s">
        <v>361</v>
      </c>
      <c r="G350" s="29" t="s">
        <v>362</v>
      </c>
      <c r="H350" s="26" t="s">
        <v>198</v>
      </c>
      <c r="I350" s="26" t="s">
        <v>199</v>
      </c>
      <c r="J350" s="30">
        <v>49650000</v>
      </c>
      <c r="K350" s="31">
        <v>46111</v>
      </c>
      <c r="L350" s="31">
        <v>46356</v>
      </c>
      <c r="M350" s="26" t="s">
        <v>2131</v>
      </c>
      <c r="N350" s="37" t="s">
        <v>2166</v>
      </c>
      <c r="O350" s="32" t="str">
        <f>IFERROR(VLOOKUP($G350,[1]DB2!$A:$B,2,0),"공동과책 확인")</f>
        <v>Ahn, Jongho</v>
      </c>
      <c r="P350" s="32" t="s">
        <v>1801</v>
      </c>
      <c r="Q350" s="32"/>
      <c r="R350" s="32" t="str">
        <f>IFERROR(VLOOKUP($I350,[1]DB2!$F$2:$I$58,2,0),"옛날 부서명 확인")</f>
        <v xml:space="preserve">Water Management Division </v>
      </c>
      <c r="S350" s="32" t="str">
        <f>IFERROR(VLOOKUP($I350,[1]DB2!$F$2:$I$58,4,0),"옛날 부서명 확인")</f>
        <v xml:space="preserve">Land and Environment Research Group </v>
      </c>
    </row>
    <row r="351" spans="1:19" ht="18" customHeight="1">
      <c r="A351" s="28"/>
      <c r="B351" s="29" t="s">
        <v>21</v>
      </c>
      <c r="C351" s="29" t="s">
        <v>2132</v>
      </c>
      <c r="D351" s="26" t="s">
        <v>2167</v>
      </c>
      <c r="E351" s="26"/>
      <c r="F351" s="26" t="s">
        <v>714</v>
      </c>
      <c r="G351" s="29" t="s">
        <v>715</v>
      </c>
      <c r="H351" s="26" t="s">
        <v>332</v>
      </c>
      <c r="I351" s="26" t="s">
        <v>333</v>
      </c>
      <c r="J351" s="30">
        <v>90909000</v>
      </c>
      <c r="K351" s="31">
        <v>46111</v>
      </c>
      <c r="L351" s="31">
        <v>46350</v>
      </c>
      <c r="M351" s="26" t="s">
        <v>2133</v>
      </c>
      <c r="N351" s="37" t="s">
        <v>2168</v>
      </c>
      <c r="O351" s="32" t="str">
        <f>IFERROR(VLOOKUP($G351,[1]DB2!$A:$B,2,0),"공동과책 확인")</f>
        <v>Shin, Dong Won</v>
      </c>
      <c r="P351" s="32" t="s">
        <v>2255</v>
      </c>
      <c r="Q351" s="32" t="s">
        <v>2259</v>
      </c>
      <c r="R351" s="32" t="str">
        <f>IFERROR(VLOOKUP($I351,[1]DB2!$F$2:$I$58,2,0),"옛날 부서명 확인")</f>
        <v xml:space="preserve">Green Economy Division </v>
      </c>
      <c r="S351" s="32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28"/>
      <c r="B352" s="29" t="s">
        <v>21</v>
      </c>
      <c r="C352" s="29" t="s">
        <v>2134</v>
      </c>
      <c r="D352" s="26" t="s">
        <v>2169</v>
      </c>
      <c r="E352" s="26"/>
      <c r="F352" s="26" t="s">
        <v>380</v>
      </c>
      <c r="G352" s="29" t="s">
        <v>381</v>
      </c>
      <c r="H352" s="26" t="s">
        <v>72</v>
      </c>
      <c r="I352" s="26" t="s">
        <v>73</v>
      </c>
      <c r="J352" s="30">
        <v>68989208</v>
      </c>
      <c r="K352" s="31">
        <v>46112</v>
      </c>
      <c r="L352" s="31">
        <v>46546</v>
      </c>
      <c r="M352" s="26" t="s">
        <v>172</v>
      </c>
      <c r="N352" s="37" t="s">
        <v>2315</v>
      </c>
      <c r="O352" s="32" t="str">
        <f>IFERROR(VLOOKUP($G352,[1]DB2!$A:$B,2,0),"공동과책 확인")</f>
        <v>Lee, Sunmin</v>
      </c>
      <c r="P352" s="32" t="s">
        <v>1801</v>
      </c>
      <c r="Q352" s="32" t="s">
        <v>2257</v>
      </c>
      <c r="R352" s="32" t="str">
        <f>IFERROR(VLOOKUP($I352,[1]DB2!$F$2:$I$58,2,0),"옛날 부서명 확인")</f>
        <v xml:space="preserve">Climate Adaptation Cooperation Division </v>
      </c>
      <c r="S352" s="32" t="str">
        <f>IFERROR(VLOOKUP($I352,[1]DB2!$F$2:$I$58,4,0),"옛날 부서명 확인")</f>
        <v xml:space="preserve">Korea Adaptation Center for Climate Change </v>
      </c>
    </row>
    <row r="353" spans="1:19" ht="18" customHeight="1">
      <c r="A353" s="28"/>
      <c r="B353" s="29" t="s">
        <v>2135</v>
      </c>
      <c r="C353" s="29" t="s">
        <v>2136</v>
      </c>
      <c r="D353" s="26" t="s">
        <v>2170</v>
      </c>
      <c r="E353" s="26"/>
      <c r="F353" s="26" t="s">
        <v>548</v>
      </c>
      <c r="G353" s="29" t="s">
        <v>549</v>
      </c>
      <c r="H353" s="26" t="s">
        <v>425</v>
      </c>
      <c r="I353" s="26" t="s">
        <v>124</v>
      </c>
      <c r="J353" s="30">
        <v>42000000</v>
      </c>
      <c r="K353" s="31">
        <v>46113</v>
      </c>
      <c r="L353" s="31">
        <v>46387</v>
      </c>
      <c r="M353" s="26"/>
      <c r="N353" s="37" t="s">
        <v>2171</v>
      </c>
      <c r="O353" s="32" t="str">
        <f>IFERROR(VLOOKUP($G353,[1]DB2!$A:$B,2,0),"공동과책 확인")</f>
        <v xml:space="preserve">Moon, Jongwoo </v>
      </c>
      <c r="P353" s="32" t="s">
        <v>1798</v>
      </c>
      <c r="Q353" s="32" t="s">
        <v>2258</v>
      </c>
      <c r="R353" s="32" t="str">
        <f>IFERROR(VLOOKUP($I353,[1]DB2!$F$2:$I$58,2,0),"옛날 부서명 확인")</f>
        <v xml:space="preserve">Carbon Neutrality Division </v>
      </c>
      <c r="S353" s="32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28"/>
      <c r="B354" s="29" t="s">
        <v>2135</v>
      </c>
      <c r="C354" s="29" t="s">
        <v>2137</v>
      </c>
      <c r="D354" s="26" t="s">
        <v>2172</v>
      </c>
      <c r="E354" s="26"/>
      <c r="F354" s="26" t="s">
        <v>730</v>
      </c>
      <c r="G354" s="29" t="s">
        <v>731</v>
      </c>
      <c r="H354" s="26" t="s">
        <v>254</v>
      </c>
      <c r="I354" s="26" t="s">
        <v>255</v>
      </c>
      <c r="J354" s="30">
        <v>53000000</v>
      </c>
      <c r="K354" s="31">
        <v>46113</v>
      </c>
      <c r="L354" s="31">
        <v>46387</v>
      </c>
      <c r="M354" s="26"/>
      <c r="N354" s="37" t="s">
        <v>2173</v>
      </c>
      <c r="O354" s="32" t="str">
        <f>IFERROR(VLOOKUP($G354,[1]DB2!$A:$B,2,0),"공동과책 확인")</f>
        <v>Lim, Hyesook</v>
      </c>
      <c r="P354" s="32" t="s">
        <v>1800</v>
      </c>
      <c r="Q354" s="32" t="s">
        <v>2157</v>
      </c>
      <c r="R354" s="32" t="str">
        <f>IFERROR(VLOOKUP($I354,[1]DB2!$F$2:$I$58,2,0),"옛날 부서명 확인")</f>
        <v xml:space="preserve">Circular Economy Division </v>
      </c>
      <c r="S354" s="32" t="str">
        <f>IFERROR(VLOOKUP($I354,[1]DB2!$F$2:$I$58,4,0),"옛날 부서명 확인")</f>
        <v xml:space="preserve">Sustainable Development Research Group  </v>
      </c>
    </row>
    <row r="355" spans="1:19" ht="18" customHeight="1">
      <c r="A355" s="28"/>
      <c r="B355" s="29" t="s">
        <v>2135</v>
      </c>
      <c r="C355" s="29" t="s">
        <v>2138</v>
      </c>
      <c r="D355" s="26" t="s">
        <v>2174</v>
      </c>
      <c r="E355" s="26"/>
      <c r="F355" s="26" t="s">
        <v>1864</v>
      </c>
      <c r="G355" s="29" t="s">
        <v>1865</v>
      </c>
      <c r="H355" s="26" t="s">
        <v>243</v>
      </c>
      <c r="I355" s="26" t="s">
        <v>147</v>
      </c>
      <c r="J355" s="30">
        <v>42000000</v>
      </c>
      <c r="K355" s="31">
        <v>46113</v>
      </c>
      <c r="L355" s="31">
        <v>46387</v>
      </c>
      <c r="M355" s="26"/>
      <c r="N355" s="37" t="s">
        <v>2325</v>
      </c>
      <c r="O355" s="32" t="str">
        <f>IFERROR(VLOOKUP($G355,[1]DB2!$A:$B,2,0),"공동과책 확인")</f>
        <v>Jeong, Yunsun</v>
      </c>
      <c r="P355" s="32" t="s">
        <v>2281</v>
      </c>
      <c r="Q355" s="32"/>
      <c r="R355" s="32" t="str">
        <f>IFERROR(VLOOKUP($I355,[1]DB2!$F$2:$I$58,2,0),"옛날 부서명 확인")</f>
        <v xml:space="preserve">Environmental Health Division </v>
      </c>
      <c r="S355" s="32" t="str">
        <f>IFERROR(VLOOKUP($I355,[1]DB2!$F$2:$I$58,4,0),"옛날 부서명 확인")</f>
        <v xml:space="preserve">Sustainable Development Research Group  </v>
      </c>
    </row>
    <row r="356" spans="1:19" ht="18" customHeight="1">
      <c r="A356" s="28"/>
      <c r="B356" s="29" t="s">
        <v>2135</v>
      </c>
      <c r="C356" s="29" t="s">
        <v>2139</v>
      </c>
      <c r="D356" s="26" t="s">
        <v>2175</v>
      </c>
      <c r="E356" s="26"/>
      <c r="F356" s="26" t="s">
        <v>509</v>
      </c>
      <c r="G356" s="29" t="s">
        <v>510</v>
      </c>
      <c r="H356" s="26" t="s">
        <v>32</v>
      </c>
      <c r="I356" s="26" t="s">
        <v>27</v>
      </c>
      <c r="J356" s="30">
        <v>52000000</v>
      </c>
      <c r="K356" s="31">
        <v>46113</v>
      </c>
      <c r="L356" s="31">
        <v>46387</v>
      </c>
      <c r="M356" s="26"/>
      <c r="N356" s="37" t="s">
        <v>2324</v>
      </c>
      <c r="O356" s="32" t="str">
        <f>IFERROR(VLOOKUP($G356,[1]DB2!$A:$B,2,0),"공동과책 확인")</f>
        <v>Lee, Who-Seung</v>
      </c>
      <c r="P356" s="32" t="s">
        <v>1797</v>
      </c>
      <c r="Q356" s="32" t="s">
        <v>2258</v>
      </c>
      <c r="R356" s="32" t="str">
        <f>IFERROR(VLOOKUP($I356,[1]DB2!$F$2:$I$58,2,0),"옛날 부서명 확인")</f>
        <v xml:space="preserve">Natural Environment Division </v>
      </c>
      <c r="S356" s="32" t="str">
        <f>IFERROR(VLOOKUP($I356,[1]DB2!$F$2:$I$58,4,0),"옛날 부서명 확인")</f>
        <v xml:space="preserve">Land and Environment Research Group </v>
      </c>
    </row>
    <row r="357" spans="1:19" ht="18" customHeight="1">
      <c r="A357" s="28"/>
      <c r="B357" s="29" t="s">
        <v>2135</v>
      </c>
      <c r="C357" s="29" t="s">
        <v>2140</v>
      </c>
      <c r="D357" s="26" t="s">
        <v>2176</v>
      </c>
      <c r="E357" s="26"/>
      <c r="F357" s="26" t="s">
        <v>91</v>
      </c>
      <c r="G357" s="29" t="s">
        <v>92</v>
      </c>
      <c r="H357" s="26" t="s">
        <v>198</v>
      </c>
      <c r="I357" s="26" t="s">
        <v>199</v>
      </c>
      <c r="J357" s="30">
        <v>52000000</v>
      </c>
      <c r="K357" s="31">
        <v>46113</v>
      </c>
      <c r="L357" s="31">
        <v>46387</v>
      </c>
      <c r="M357" s="26"/>
      <c r="N357" s="37" t="s">
        <v>2177</v>
      </c>
      <c r="O357" s="32" t="str">
        <f>IFERROR(VLOOKUP($G357,[1]DB2!$A:$B,2,0),"공동과책 확인")</f>
        <v>Kim, Ikjae</v>
      </c>
      <c r="P357" s="32" t="s">
        <v>1801</v>
      </c>
      <c r="Q357" s="32" t="s">
        <v>2259</v>
      </c>
      <c r="R357" s="32" t="str">
        <f>IFERROR(VLOOKUP($I357,[1]DB2!$F$2:$I$58,2,0),"옛날 부서명 확인")</f>
        <v xml:space="preserve">Water Management Division </v>
      </c>
      <c r="S357" s="32" t="str">
        <f>IFERROR(VLOOKUP($I357,[1]DB2!$F$2:$I$58,4,0),"옛날 부서명 확인")</f>
        <v xml:space="preserve">Land and Environment Research Group </v>
      </c>
    </row>
    <row r="358" spans="1:19" ht="18" customHeight="1">
      <c r="A358" s="28"/>
      <c r="B358" s="29" t="s">
        <v>2135</v>
      </c>
      <c r="C358" s="29" t="s">
        <v>2141</v>
      </c>
      <c r="D358" s="26" t="s">
        <v>2178</v>
      </c>
      <c r="E358" s="26"/>
      <c r="F358" s="26" t="s">
        <v>219</v>
      </c>
      <c r="G358" s="29" t="s">
        <v>220</v>
      </c>
      <c r="H358" s="26" t="s">
        <v>198</v>
      </c>
      <c r="I358" s="26" t="s">
        <v>199</v>
      </c>
      <c r="J358" s="30">
        <v>32000000</v>
      </c>
      <c r="K358" s="31">
        <v>46113</v>
      </c>
      <c r="L358" s="31">
        <v>46356</v>
      </c>
      <c r="M358" s="26"/>
      <c r="N358" s="37" t="s">
        <v>2378</v>
      </c>
      <c r="O358" s="32" t="str">
        <f>IFERROR(VLOOKUP($G358,[1]DB2!$A:$B,2,0),"공동과책 확인")</f>
        <v>Kim, Hojeong</v>
      </c>
      <c r="P358" s="32" t="s">
        <v>1801</v>
      </c>
      <c r="Q358" s="32" t="s">
        <v>2256</v>
      </c>
      <c r="R358" s="32" t="str">
        <f>IFERROR(VLOOKUP($I358,[1]DB2!$F$2:$I$58,2,0),"옛날 부서명 확인")</f>
        <v xml:space="preserve">Water Management Division </v>
      </c>
      <c r="S358" s="32" t="str">
        <f>IFERROR(VLOOKUP($I358,[1]DB2!$F$2:$I$58,4,0),"옛날 부서명 확인")</f>
        <v xml:space="preserve">Land and Environment Research Group </v>
      </c>
    </row>
    <row r="359" spans="1:19" ht="18" customHeight="1">
      <c r="A359" s="28"/>
      <c r="B359" s="29" t="s">
        <v>2135</v>
      </c>
      <c r="C359" s="29" t="s">
        <v>2142</v>
      </c>
      <c r="D359" s="26" t="s">
        <v>2179</v>
      </c>
      <c r="E359" s="26"/>
      <c r="F359" s="26" t="s">
        <v>273</v>
      </c>
      <c r="G359" s="29" t="s">
        <v>274</v>
      </c>
      <c r="H359" s="26" t="s">
        <v>198</v>
      </c>
      <c r="I359" s="26" t="s">
        <v>199</v>
      </c>
      <c r="J359" s="30">
        <v>42000000</v>
      </c>
      <c r="K359" s="31">
        <v>46113</v>
      </c>
      <c r="L359" s="31">
        <v>46387</v>
      </c>
      <c r="M359" s="26"/>
      <c r="N359" s="37" t="s">
        <v>2180</v>
      </c>
      <c r="O359" s="32" t="str">
        <f>IFERROR(VLOOKUP($G359,[1]DB2!$A:$B,2,0),"공동과책 확인")</f>
        <v>Jeon, Dongjin</v>
      </c>
      <c r="P359" s="32" t="s">
        <v>1801</v>
      </c>
      <c r="Q359" s="32" t="s">
        <v>1800</v>
      </c>
      <c r="R359" s="32" t="str">
        <f>IFERROR(VLOOKUP($I359,[1]DB2!$F$2:$I$58,2,0),"옛날 부서명 확인")</f>
        <v xml:space="preserve">Water Management Division </v>
      </c>
      <c r="S359" s="32" t="str">
        <f>IFERROR(VLOOKUP($I359,[1]DB2!$F$2:$I$58,4,0),"옛날 부서명 확인")</f>
        <v xml:space="preserve">Land and Environment Research Group </v>
      </c>
    </row>
    <row r="360" spans="1:19" ht="18" customHeight="1">
      <c r="A360" s="28"/>
      <c r="B360" s="29" t="s">
        <v>2135</v>
      </c>
      <c r="C360" s="29" t="s">
        <v>2143</v>
      </c>
      <c r="D360" s="26" t="s">
        <v>2181</v>
      </c>
      <c r="E360" s="26"/>
      <c r="F360" s="26" t="s">
        <v>429</v>
      </c>
      <c r="G360" s="29" t="s">
        <v>430</v>
      </c>
      <c r="H360" s="26" t="s">
        <v>198</v>
      </c>
      <c r="I360" s="26" t="s">
        <v>199</v>
      </c>
      <c r="J360" s="30">
        <v>52000000</v>
      </c>
      <c r="K360" s="31">
        <v>46113</v>
      </c>
      <c r="L360" s="31">
        <v>46387</v>
      </c>
      <c r="M360" s="26"/>
      <c r="N360" s="37" t="s">
        <v>2182</v>
      </c>
      <c r="O360" s="32" t="str">
        <f>IFERROR(VLOOKUP($G360,[1]DB2!$A:$B,2,0),"공동과책 확인")</f>
        <v>Choi, Mikyoung</v>
      </c>
      <c r="P360" s="32" t="s">
        <v>1797</v>
      </c>
      <c r="Q360" s="32" t="s">
        <v>1801</v>
      </c>
      <c r="R360" s="32" t="str">
        <f>IFERROR(VLOOKUP($I360,[1]DB2!$F$2:$I$58,2,0),"옛날 부서명 확인")</f>
        <v xml:space="preserve">Water Management Division </v>
      </c>
      <c r="S360" s="32" t="str">
        <f>IFERROR(VLOOKUP($I360,[1]DB2!$F$2:$I$58,4,0),"옛날 부서명 확인")</f>
        <v xml:space="preserve">Land and Environment Research Group </v>
      </c>
    </row>
    <row r="361" spans="1:19" ht="18" customHeight="1">
      <c r="A361" s="28"/>
      <c r="B361" s="29" t="s">
        <v>2135</v>
      </c>
      <c r="C361" s="29" t="s">
        <v>2144</v>
      </c>
      <c r="D361" s="26" t="s">
        <v>2183</v>
      </c>
      <c r="E361" s="26"/>
      <c r="F361" s="26" t="s">
        <v>129</v>
      </c>
      <c r="G361" s="29" t="s">
        <v>130</v>
      </c>
      <c r="H361" s="26" t="s">
        <v>198</v>
      </c>
      <c r="I361" s="26" t="s">
        <v>199</v>
      </c>
      <c r="J361" s="30">
        <v>52000000</v>
      </c>
      <c r="K361" s="31">
        <v>46113</v>
      </c>
      <c r="L361" s="31">
        <v>46387</v>
      </c>
      <c r="M361" s="26"/>
      <c r="N361" s="37" t="s">
        <v>2184</v>
      </c>
      <c r="O361" s="32" t="str">
        <f>IFERROR(VLOOKUP($G361,[1]DB2!$A:$B,2,0),"공동과책 확인")</f>
        <v>Han, Daeho</v>
      </c>
      <c r="P361" s="32" t="s">
        <v>1801</v>
      </c>
      <c r="Q361" s="32"/>
      <c r="R361" s="32" t="str">
        <f>IFERROR(VLOOKUP($I361,[1]DB2!$F$2:$I$58,2,0),"옛날 부서명 확인")</f>
        <v xml:space="preserve">Water Management Division </v>
      </c>
      <c r="S361" s="32" t="str">
        <f>IFERROR(VLOOKUP($I361,[1]DB2!$F$2:$I$58,4,0),"옛날 부서명 확인")</f>
        <v xml:space="preserve">Land and Environment Research Group </v>
      </c>
    </row>
    <row r="362" spans="1:19" ht="18" customHeight="1">
      <c r="A362" s="28"/>
      <c r="B362" s="50" t="s">
        <v>2135</v>
      </c>
      <c r="C362" s="50" t="s">
        <v>2145</v>
      </c>
      <c r="D362" s="51" t="s">
        <v>2185</v>
      </c>
      <c r="E362" s="26"/>
      <c r="F362" s="26" t="s">
        <v>852</v>
      </c>
      <c r="G362" s="29" t="s">
        <v>853</v>
      </c>
      <c r="H362" s="26" t="s">
        <v>208</v>
      </c>
      <c r="I362" s="26" t="s">
        <v>209</v>
      </c>
      <c r="J362" s="30">
        <v>42000000</v>
      </c>
      <c r="K362" s="31">
        <v>46113</v>
      </c>
      <c r="L362" s="31">
        <v>46387</v>
      </c>
      <c r="M362" s="26"/>
      <c r="N362" s="37" t="s">
        <v>2369</v>
      </c>
      <c r="O362" s="32" t="str">
        <f>IFERROR(VLOOKUP($G362,[1]DB2!$A:$B,2,0),"공동과책 확인")</f>
        <v xml:space="preserve">Kim, Taehyun </v>
      </c>
      <c r="P362" s="32" t="s">
        <v>2256</v>
      </c>
      <c r="Q362" s="32"/>
      <c r="R362" s="32" t="str">
        <f>IFERROR(VLOOKUP($I362,[1]DB2!$F$2:$I$58,2,0),"옛날 부서명 확인")</f>
        <v>Spatial Planning and Management Division</v>
      </c>
      <c r="S362" s="32" t="str">
        <f>IFERROR(VLOOKUP($I362,[1]DB2!$F$2:$I$58,4,0),"옛날 부서명 확인")</f>
        <v xml:space="preserve">Land and Environment Research Group </v>
      </c>
    </row>
    <row r="363" spans="1:19" ht="18" customHeight="1">
      <c r="A363" s="28"/>
      <c r="B363" s="50" t="s">
        <v>2135</v>
      </c>
      <c r="C363" s="50" t="s">
        <v>2146</v>
      </c>
      <c r="D363" s="51" t="s">
        <v>2495</v>
      </c>
      <c r="E363" s="26"/>
      <c r="F363" s="26" t="s">
        <v>474</v>
      </c>
      <c r="G363" s="29" t="s">
        <v>475</v>
      </c>
      <c r="H363" s="26" t="s">
        <v>476</v>
      </c>
      <c r="I363" s="26" t="s">
        <v>477</v>
      </c>
      <c r="J363" s="30">
        <v>52000000</v>
      </c>
      <c r="K363" s="31">
        <v>46113</v>
      </c>
      <c r="L363" s="31">
        <v>46387</v>
      </c>
      <c r="M363" s="26"/>
      <c r="N363" s="37" t="s">
        <v>2186</v>
      </c>
      <c r="O363" s="32" t="str">
        <f>IFERROR(VLOOKUP($G363,[1]DB2!$A:$B,2,0),"공동과책 확인")</f>
        <v>Lee, Sangyun</v>
      </c>
      <c r="P363" s="32" t="s">
        <v>1796</v>
      </c>
      <c r="Q363" s="32" t="s">
        <v>2259</v>
      </c>
      <c r="R363" s="32" t="str">
        <f>IFERROR(VLOOKUP($I363,[1]DB2!$F$2:$I$58,2,0),"옛날 부서명 확인")</f>
        <v xml:space="preserve">Environmental Resources Assessment Division </v>
      </c>
      <c r="S363" s="32" t="str">
        <f>IFERROR(VLOOKUP($I363,[1]DB2!$F$2:$I$58,4,0),"옛날 부서명 확인")</f>
        <v xml:space="preserve">Environmental Assessment Group </v>
      </c>
    </row>
    <row r="364" spans="1:19" ht="18" customHeight="1">
      <c r="A364" s="28"/>
      <c r="B364" s="29" t="s">
        <v>2135</v>
      </c>
      <c r="C364" s="29" t="s">
        <v>2147</v>
      </c>
      <c r="D364" s="26" t="s">
        <v>2187</v>
      </c>
      <c r="E364" s="26"/>
      <c r="F364" s="26" t="s">
        <v>735</v>
      </c>
      <c r="G364" s="29" t="s">
        <v>736</v>
      </c>
      <c r="H364" s="26" t="s">
        <v>394</v>
      </c>
      <c r="I364" s="26" t="s">
        <v>395</v>
      </c>
      <c r="J364" s="30">
        <v>42000000</v>
      </c>
      <c r="K364" s="31">
        <v>46113</v>
      </c>
      <c r="L364" s="31">
        <v>46387</v>
      </c>
      <c r="M364" s="26"/>
      <c r="N364" s="37" t="s">
        <v>2188</v>
      </c>
      <c r="O364" s="32" t="str">
        <f>IFERROR(VLOOKUP($G364,[1]DB2!$A:$B,2,0),"공동과책 확인")</f>
        <v xml:space="preserve">Heo, Namjoo </v>
      </c>
      <c r="P364" s="32" t="s">
        <v>1796</v>
      </c>
      <c r="Q364" s="32" t="s">
        <v>2284</v>
      </c>
      <c r="R364" s="32" t="str">
        <f>IFERROR(VLOOKUP($I364,[1]DB2!$F$2:$I$58,2,0),"옛날 부서명 확인")</f>
        <v xml:space="preserve">Climate and Energy Assessment Division </v>
      </c>
      <c r="S364" s="32" t="str">
        <f>IFERROR(VLOOKUP($I364,[1]DB2!$F$2:$I$58,4,0),"옛날 부서명 확인")</f>
        <v xml:space="preserve">Environmental Assessment Group </v>
      </c>
    </row>
    <row r="365" spans="1:19" ht="18" customHeight="1">
      <c r="A365" s="28"/>
      <c r="B365" s="29" t="s">
        <v>2135</v>
      </c>
      <c r="C365" s="29" t="s">
        <v>2148</v>
      </c>
      <c r="D365" s="26" t="s">
        <v>2189</v>
      </c>
      <c r="E365" s="26"/>
      <c r="F365" s="26" t="s">
        <v>2149</v>
      </c>
      <c r="G365" s="29" t="s">
        <v>2150</v>
      </c>
      <c r="H365" s="26" t="s">
        <v>394</v>
      </c>
      <c r="I365" s="26" t="s">
        <v>395</v>
      </c>
      <c r="J365" s="30">
        <v>52000000</v>
      </c>
      <c r="K365" s="31">
        <v>46113</v>
      </c>
      <c r="L365" s="31">
        <v>46387</v>
      </c>
      <c r="M365" s="26"/>
      <c r="N365" s="37" t="s">
        <v>2190</v>
      </c>
      <c r="O365" s="32" t="str">
        <f>IFERROR(VLOOKUP($G365,[1]DB2!$A:$B,2,0),"공동과책 확인")</f>
        <v>Kwon, Sunyong</v>
      </c>
      <c r="P365" s="32" t="s">
        <v>2255</v>
      </c>
      <c r="Q365" s="32" t="s">
        <v>1796</v>
      </c>
      <c r="R365" s="32" t="str">
        <f>IFERROR(VLOOKUP($I365,[1]DB2!$F$2:$I$58,2,0),"옛날 부서명 확인")</f>
        <v xml:space="preserve">Climate and Energy Assessment Division </v>
      </c>
      <c r="S365" s="32" t="str">
        <f>IFERROR(VLOOKUP($I365,[1]DB2!$F$2:$I$58,4,0),"옛날 부서명 확인")</f>
        <v xml:space="preserve">Environmental Assessment Group </v>
      </c>
    </row>
    <row r="366" spans="1:19">
      <c r="B366" s="52" t="s">
        <v>21</v>
      </c>
      <c r="C366" s="46" t="s">
        <v>2382</v>
      </c>
      <c r="D366" s="47" t="s">
        <v>2383</v>
      </c>
      <c r="E366" s="47"/>
      <c r="F366" s="47" t="s">
        <v>44</v>
      </c>
      <c r="G366" s="46" t="s">
        <v>45</v>
      </c>
      <c r="H366" s="47" t="s">
        <v>208</v>
      </c>
      <c r="I366" s="47" t="s">
        <v>209</v>
      </c>
      <c r="J366" s="48">
        <v>280000000</v>
      </c>
      <c r="K366" s="49">
        <v>46113</v>
      </c>
      <c r="L366" s="49">
        <v>46387</v>
      </c>
      <c r="M366" s="47" t="s">
        <v>436</v>
      </c>
      <c r="N366" s="33" t="s">
        <v>2501</v>
      </c>
      <c r="O366" s="32" t="str">
        <f>IFERROR(VLOOKUP($G366,[1]DB2!$A:$B,2,0),"공동과책 확인")</f>
        <v>Son, Seungwoo</v>
      </c>
      <c r="P366" s="32" t="s">
        <v>1797</v>
      </c>
      <c r="Q366" s="32" t="s">
        <v>2257</v>
      </c>
      <c r="R366" s="32" t="str">
        <f>IFERROR(VLOOKUP($I366,[1]DB2!$F$2:$I$58,2,0),"옛날 부서명 확인")</f>
        <v>Spatial Planning and Management Division</v>
      </c>
      <c r="S366" s="32" t="str">
        <f>IFERROR(VLOOKUP($I366,[1]DB2!$F$2:$I$58,4,0),"옛날 부서명 확인")</f>
        <v xml:space="preserve">Land and Environment Research Group </v>
      </c>
    </row>
    <row r="367" spans="1:19">
      <c r="B367" s="52" t="s">
        <v>21</v>
      </c>
      <c r="C367" s="46" t="s">
        <v>2384</v>
      </c>
      <c r="D367" s="47" t="s">
        <v>2385</v>
      </c>
      <c r="E367" s="47"/>
      <c r="F367" s="47" t="s">
        <v>641</v>
      </c>
      <c r="G367" s="46" t="s">
        <v>642</v>
      </c>
      <c r="H367" s="47" t="s">
        <v>198</v>
      </c>
      <c r="I367" s="47" t="s">
        <v>199</v>
      </c>
      <c r="J367" s="48">
        <v>200000000</v>
      </c>
      <c r="K367" s="49">
        <v>46113</v>
      </c>
      <c r="L367" s="49">
        <v>46387</v>
      </c>
      <c r="M367" s="47" t="s">
        <v>436</v>
      </c>
      <c r="N367" s="33" t="s">
        <v>2502</v>
      </c>
      <c r="O367" s="32" t="str">
        <f>IFERROR(VLOOKUP($G367,[1]DB2!$A:$B,2,0),"공동과책 확인")</f>
        <v>Hyun, Yunjung</v>
      </c>
      <c r="P367" s="32" t="s">
        <v>1797</v>
      </c>
      <c r="Q367" s="32"/>
      <c r="R367" s="32" t="str">
        <f>IFERROR(VLOOKUP($I367,[1]DB2!$F$2:$I$58,2,0),"옛날 부서명 확인")</f>
        <v xml:space="preserve">Water Management Division </v>
      </c>
      <c r="S367" s="32" t="str">
        <f>IFERROR(VLOOKUP($I367,[1]DB2!$F$2:$I$58,4,0),"옛날 부서명 확인")</f>
        <v xml:space="preserve">Land and Environment Research Group </v>
      </c>
    </row>
    <row r="368" spans="1:19">
      <c r="B368" s="46" t="s">
        <v>21</v>
      </c>
      <c r="C368" s="46" t="s">
        <v>2386</v>
      </c>
      <c r="D368" s="47" t="s">
        <v>2387</v>
      </c>
      <c r="E368" s="47"/>
      <c r="F368" s="47" t="s">
        <v>470</v>
      </c>
      <c r="G368" s="46" t="s">
        <v>471</v>
      </c>
      <c r="H368" s="47" t="s">
        <v>297</v>
      </c>
      <c r="I368" s="47" t="s">
        <v>298</v>
      </c>
      <c r="J368" s="48">
        <v>50000000</v>
      </c>
      <c r="K368" s="49">
        <v>46023</v>
      </c>
      <c r="L368" s="49">
        <v>46387</v>
      </c>
      <c r="M368" s="47" t="s">
        <v>387</v>
      </c>
      <c r="N368" s="33" t="s">
        <v>2503</v>
      </c>
      <c r="O368" s="32" t="str">
        <f>IFERROR(VLOOKUP($G368,[1]DB2!$A:$B,2,0),"공동과책 확인")</f>
        <v xml:space="preserve">Song, Jiyoon </v>
      </c>
      <c r="P368" s="32" t="s">
        <v>2256</v>
      </c>
      <c r="Q368" s="32" t="s">
        <v>2258</v>
      </c>
      <c r="R368" s="32" t="str">
        <f>IFERROR(VLOOKUP($I368,[1]DB2!$F$2:$I$58,2,0),"옛날 부서명 확인")</f>
        <v xml:space="preserve">Climate Adaptation Policy Division </v>
      </c>
      <c r="S368" s="32" t="str">
        <f>IFERROR(VLOOKUP($I368,[1]DB2!$F$2:$I$58,4,0),"옛날 부서명 확인")</f>
        <v xml:space="preserve">Korea Adaptation Center for Climate Change </v>
      </c>
    </row>
    <row r="369" spans="2:19">
      <c r="B369" s="46" t="s">
        <v>21</v>
      </c>
      <c r="C369" s="46" t="s">
        <v>2388</v>
      </c>
      <c r="D369" s="47" t="s">
        <v>2389</v>
      </c>
      <c r="E369" s="47"/>
      <c r="F369" s="47" t="s">
        <v>514</v>
      </c>
      <c r="G369" s="46" t="s">
        <v>515</v>
      </c>
      <c r="H369" s="47" t="s">
        <v>382</v>
      </c>
      <c r="I369" s="47" t="s">
        <v>383</v>
      </c>
      <c r="J369" s="48">
        <v>49050000</v>
      </c>
      <c r="K369" s="49">
        <v>46121</v>
      </c>
      <c r="L369" s="49">
        <v>46420</v>
      </c>
      <c r="M369" s="47" t="s">
        <v>2129</v>
      </c>
      <c r="N369" s="33" t="s">
        <v>2504</v>
      </c>
      <c r="O369" s="32" t="str">
        <f>IFERROR(VLOOKUP($G369,[1]DB2!$A:$B,2,0),"공동과책 확인")</f>
        <v>Ji, Min-Kyu</v>
      </c>
      <c r="P369" s="32" t="s">
        <v>1796</v>
      </c>
      <c r="Q369" s="32" t="s">
        <v>2257</v>
      </c>
      <c r="R369" s="32" t="str">
        <f>IFERROR(VLOOKUP($I369,[1]DB2!$F$2:$I$58,2,0),"옛날 부서명 확인")</f>
        <v xml:space="preserve">Social Infrastructure Assessment Division </v>
      </c>
      <c r="S369" s="32" t="str">
        <f>IFERROR(VLOOKUP($I369,[1]DB2!$F$2:$I$58,4,0),"옛날 부서명 확인")</f>
        <v xml:space="preserve">Environmental Assessment Group </v>
      </c>
    </row>
    <row r="370" spans="2:19">
      <c r="B370" s="46" t="s">
        <v>21</v>
      </c>
      <c r="C370" s="46" t="s">
        <v>2390</v>
      </c>
      <c r="D370" s="47" t="s">
        <v>2391</v>
      </c>
      <c r="E370" s="47"/>
      <c r="F370" s="47" t="s">
        <v>852</v>
      </c>
      <c r="G370" s="46" t="s">
        <v>853</v>
      </c>
      <c r="H370" s="47" t="s">
        <v>208</v>
      </c>
      <c r="I370" s="47" t="s">
        <v>209</v>
      </c>
      <c r="J370" s="48">
        <v>49550000</v>
      </c>
      <c r="K370" s="49">
        <v>46125</v>
      </c>
      <c r="L370" s="49">
        <v>46489</v>
      </c>
      <c r="M370" s="47" t="s">
        <v>2392</v>
      </c>
      <c r="N370" s="33" t="s">
        <v>2505</v>
      </c>
      <c r="O370" s="32" t="str">
        <f>IFERROR(VLOOKUP($G370,[1]DB2!$A:$B,2,0),"공동과책 확인")</f>
        <v xml:space="preserve">Kim, Taehyun </v>
      </c>
      <c r="P370" s="32" t="s">
        <v>2255</v>
      </c>
      <c r="Q370" s="32" t="s">
        <v>2256</v>
      </c>
      <c r="R370" s="32" t="str">
        <f>IFERROR(VLOOKUP($I370,[1]DB2!$F$2:$I$58,2,0),"옛날 부서명 확인")</f>
        <v>Spatial Planning and Management Division</v>
      </c>
      <c r="S370" s="32" t="str">
        <f>IFERROR(VLOOKUP($I370,[1]DB2!$F$2:$I$58,4,0),"옛날 부서명 확인")</f>
        <v xml:space="preserve">Land and Environment Research Group </v>
      </c>
    </row>
    <row r="371" spans="2:19">
      <c r="B371" s="46" t="s">
        <v>21</v>
      </c>
      <c r="C371" s="46" t="s">
        <v>2393</v>
      </c>
      <c r="D371" s="47" t="s">
        <v>2394</v>
      </c>
      <c r="E371" s="47"/>
      <c r="F371" s="47" t="s">
        <v>465</v>
      </c>
      <c r="G371" s="46" t="s">
        <v>466</v>
      </c>
      <c r="H371" s="47" t="s">
        <v>382</v>
      </c>
      <c r="I371" s="47" t="s">
        <v>383</v>
      </c>
      <c r="J371" s="48">
        <v>80000000</v>
      </c>
      <c r="K371" s="49">
        <v>46126</v>
      </c>
      <c r="L371" s="49">
        <v>46365</v>
      </c>
      <c r="M371" s="47" t="s">
        <v>2395</v>
      </c>
      <c r="N371" s="33" t="s">
        <v>2506</v>
      </c>
      <c r="O371" s="32" t="str">
        <f>IFERROR(VLOOKUP($G371,[1]DB2!$A:$B,2,0),"공동과책 확인")</f>
        <v>Park, Taeho</v>
      </c>
      <c r="P371" s="32" t="s">
        <v>1796</v>
      </c>
      <c r="Q371" s="32" t="s">
        <v>2281</v>
      </c>
      <c r="R371" s="32" t="str">
        <f>IFERROR(VLOOKUP($I371,[1]DB2!$F$2:$I$58,2,0),"옛날 부서명 확인")</f>
        <v xml:space="preserve">Social Infrastructure Assessment Division </v>
      </c>
      <c r="S371" s="32" t="str">
        <f>IFERROR(VLOOKUP($I371,[1]DB2!$F$2:$I$58,4,0),"옛날 부서명 확인")</f>
        <v xml:space="preserve">Environmental Assessment Group </v>
      </c>
    </row>
    <row r="372" spans="2:19">
      <c r="B372" s="46" t="s">
        <v>21</v>
      </c>
      <c r="C372" s="46" t="s">
        <v>2396</v>
      </c>
      <c r="D372" s="47" t="s">
        <v>2397</v>
      </c>
      <c r="E372" s="47"/>
      <c r="F372" s="47" t="s">
        <v>509</v>
      </c>
      <c r="G372" s="46" t="s">
        <v>510</v>
      </c>
      <c r="H372" s="47" t="s">
        <v>32</v>
      </c>
      <c r="I372" s="47" t="s">
        <v>27</v>
      </c>
      <c r="J372" s="48">
        <v>80000000</v>
      </c>
      <c r="K372" s="49">
        <v>46134</v>
      </c>
      <c r="L372" s="49">
        <v>46373</v>
      </c>
      <c r="M372" s="47" t="s">
        <v>1820</v>
      </c>
      <c r="N372" s="33" t="s">
        <v>2507</v>
      </c>
      <c r="O372" s="32" t="str">
        <f>IFERROR(VLOOKUP($G372,[1]DB2!$A:$B,2,0),"공동과책 확인")</f>
        <v>Lee, Who-Seung</v>
      </c>
      <c r="P372" s="32" t="s">
        <v>1800</v>
      </c>
      <c r="Q372" s="32" t="s">
        <v>1797</v>
      </c>
      <c r="R372" s="32" t="str">
        <f>IFERROR(VLOOKUP($I372,[1]DB2!$F$2:$I$58,2,0),"옛날 부서명 확인")</f>
        <v xml:space="preserve">Natural Environment Division </v>
      </c>
      <c r="S372" s="32" t="str">
        <f>IFERROR(VLOOKUP($I372,[1]DB2!$F$2:$I$58,4,0),"옛날 부서명 확인")</f>
        <v xml:space="preserve">Land and Environment Research Group </v>
      </c>
    </row>
    <row r="373" spans="2:19">
      <c r="B373" s="46" t="s">
        <v>21</v>
      </c>
      <c r="C373" s="46" t="s">
        <v>2398</v>
      </c>
      <c r="D373" s="47" t="s">
        <v>2547</v>
      </c>
      <c r="E373" s="47"/>
      <c r="F373" s="47" t="s">
        <v>44</v>
      </c>
      <c r="G373" s="46" t="s">
        <v>45</v>
      </c>
      <c r="H373" s="47" t="s">
        <v>208</v>
      </c>
      <c r="I373" s="47" t="s">
        <v>209</v>
      </c>
      <c r="J373" s="48">
        <v>47500000</v>
      </c>
      <c r="K373" s="49">
        <v>46136</v>
      </c>
      <c r="L373" s="49">
        <v>46500</v>
      </c>
      <c r="M373" s="47" t="s">
        <v>1820</v>
      </c>
      <c r="N373" s="33" t="s">
        <v>2508</v>
      </c>
      <c r="O373" s="32" t="str">
        <f>IFERROR(VLOOKUP($G373,[1]DB2!$A:$B,2,0),"공동과책 확인")</f>
        <v>Son, Seungwoo</v>
      </c>
      <c r="P373" s="32" t="s">
        <v>1797</v>
      </c>
      <c r="Q373" s="32" t="s">
        <v>1796</v>
      </c>
      <c r="R373" s="32" t="str">
        <f>IFERROR(VLOOKUP($I373,[1]DB2!$F$2:$I$58,2,0),"옛날 부서명 확인")</f>
        <v>Spatial Planning and Management Division</v>
      </c>
      <c r="S373" s="32" t="str">
        <f>IFERROR(VLOOKUP($I373,[1]DB2!$F$2:$I$58,4,0),"옛날 부서명 확인")</f>
        <v xml:space="preserve">Land and Environment Research Group </v>
      </c>
    </row>
    <row r="374" spans="2:19">
      <c r="B374" s="46" t="s">
        <v>21</v>
      </c>
      <c r="C374" s="46" t="s">
        <v>2399</v>
      </c>
      <c r="D374" s="47" t="s">
        <v>2400</v>
      </c>
      <c r="E374" s="47"/>
      <c r="F374" s="47" t="s">
        <v>44</v>
      </c>
      <c r="G374" s="46" t="s">
        <v>45</v>
      </c>
      <c r="H374" s="47" t="s">
        <v>208</v>
      </c>
      <c r="I374" s="47" t="s">
        <v>209</v>
      </c>
      <c r="J374" s="48">
        <v>125000000</v>
      </c>
      <c r="K374" s="49">
        <v>46139</v>
      </c>
      <c r="L374" s="49">
        <v>46503</v>
      </c>
      <c r="M374" s="47" t="s">
        <v>1820</v>
      </c>
      <c r="N374" s="33" t="s">
        <v>2510</v>
      </c>
      <c r="O374" s="32" t="str">
        <f>IFERROR(VLOOKUP($G374,[1]DB2!$A:$B,2,0),"공동과책 확인")</f>
        <v>Son, Seungwoo</v>
      </c>
      <c r="P374" s="32" t="s">
        <v>2256</v>
      </c>
      <c r="Q374" s="32" t="s">
        <v>1797</v>
      </c>
      <c r="R374" s="32" t="str">
        <f>IFERROR(VLOOKUP($I374,[1]DB2!$F$2:$I$58,2,0),"옛날 부서명 확인")</f>
        <v>Spatial Planning and Management Division</v>
      </c>
      <c r="S374" s="32" t="str">
        <f>IFERROR(VLOOKUP($I374,[1]DB2!$F$2:$I$58,4,0),"옛날 부서명 확인")</f>
        <v xml:space="preserve">Land and Environment Research Group </v>
      </c>
    </row>
    <row r="375" spans="2:19">
      <c r="B375" s="46" t="s">
        <v>21</v>
      </c>
      <c r="C375" s="46" t="s">
        <v>2401</v>
      </c>
      <c r="D375" s="47" t="s">
        <v>2402</v>
      </c>
      <c r="E375" s="47"/>
      <c r="F375" s="47" t="s">
        <v>966</v>
      </c>
      <c r="G375" s="46" t="s">
        <v>967</v>
      </c>
      <c r="H375" s="47" t="s">
        <v>38</v>
      </c>
      <c r="I375" s="47" t="s">
        <v>39</v>
      </c>
      <c r="J375" s="48">
        <v>309163630</v>
      </c>
      <c r="K375" s="49">
        <v>46139</v>
      </c>
      <c r="L375" s="49">
        <v>46387</v>
      </c>
      <c r="M375" s="47" t="s">
        <v>286</v>
      </c>
      <c r="N375" s="33" t="s">
        <v>2511</v>
      </c>
      <c r="O375" s="32" t="str">
        <f>IFERROR(VLOOKUP($G375,[1]DB2!$A:$B,2,0),"공동과책 확인")</f>
        <v>Kim, Dokyun</v>
      </c>
      <c r="P375" s="32" t="s">
        <v>2158</v>
      </c>
      <c r="Q375" s="32" t="s">
        <v>1798</v>
      </c>
      <c r="R375" s="32" t="str">
        <f>IFERROR(VLOOKUP($I375,[1]DB2!$F$2:$I$58,2,0),"옛날 부서명 확인")</f>
        <v xml:space="preserve">Living Environment and Society Division </v>
      </c>
      <c r="S375" s="32" t="str">
        <f>IFERROR(VLOOKUP($I375,[1]DB2!$F$2:$I$58,4,0),"옛날 부서명 확인")</f>
        <v xml:space="preserve">Sustainable Development Research Group  </v>
      </c>
    </row>
    <row r="376" spans="2:19">
      <c r="B376" s="46" t="s">
        <v>21</v>
      </c>
      <c r="C376" s="46" t="s">
        <v>2403</v>
      </c>
      <c r="D376" s="47" t="s">
        <v>2404</v>
      </c>
      <c r="E376" s="47"/>
      <c r="F376" s="47" t="s">
        <v>581</v>
      </c>
      <c r="G376" s="46" t="s">
        <v>582</v>
      </c>
      <c r="H376" s="47" t="s">
        <v>382</v>
      </c>
      <c r="I376" s="47" t="s">
        <v>383</v>
      </c>
      <c r="J376" s="48">
        <v>330000000</v>
      </c>
      <c r="K376" s="49">
        <v>46113</v>
      </c>
      <c r="L376" s="49">
        <v>46387</v>
      </c>
      <c r="M376" s="47" t="s">
        <v>436</v>
      </c>
      <c r="N376" s="33" t="s">
        <v>2512</v>
      </c>
      <c r="O376" s="32" t="str">
        <f>IFERROR(VLOOKUP($G376,[1]DB2!$A:$B,2,0),"공동과책 확인")</f>
        <v>Ha, Jongsik</v>
      </c>
      <c r="P376" s="32" t="s">
        <v>2281</v>
      </c>
      <c r="Q376" s="32" t="s">
        <v>2257</v>
      </c>
      <c r="R376" s="32" t="str">
        <f>IFERROR(VLOOKUP($I376,[1]DB2!$F$2:$I$58,2,0),"옛날 부서명 확인")</f>
        <v xml:space="preserve">Social Infrastructure Assessment Division </v>
      </c>
      <c r="S376" s="32" t="str">
        <f>IFERROR(VLOOKUP($I376,[1]DB2!$F$2:$I$58,4,0),"옛날 부서명 확인")</f>
        <v xml:space="preserve">Environmental Assessment Group </v>
      </c>
    </row>
    <row r="377" spans="2:19">
      <c r="B377" s="46" t="s">
        <v>21</v>
      </c>
      <c r="C377" s="46" t="s">
        <v>2405</v>
      </c>
      <c r="D377" s="47" t="s">
        <v>2406</v>
      </c>
      <c r="E377" s="47"/>
      <c r="F377" s="47" t="s">
        <v>241</v>
      </c>
      <c r="G377" s="46" t="s">
        <v>242</v>
      </c>
      <c r="H377" s="47" t="s">
        <v>243</v>
      </c>
      <c r="I377" s="47" t="s">
        <v>147</v>
      </c>
      <c r="J377" s="48">
        <v>300000000</v>
      </c>
      <c r="K377" s="49">
        <v>46113</v>
      </c>
      <c r="L377" s="49">
        <v>46387</v>
      </c>
      <c r="M377" s="47" t="s">
        <v>436</v>
      </c>
      <c r="N377" s="33" t="s">
        <v>2513</v>
      </c>
      <c r="O377" s="32" t="str">
        <f>IFERROR(VLOOKUP($G377,[1]DB2!$A:$B,2,0),"공동과책 확인")</f>
        <v>Bae, Hyun-Joo</v>
      </c>
      <c r="P377" s="32" t="s">
        <v>2281</v>
      </c>
      <c r="Q377" s="32" t="s">
        <v>2257</v>
      </c>
      <c r="R377" s="32" t="str">
        <f>IFERROR(VLOOKUP($I377,[1]DB2!$F$2:$I$58,2,0),"옛날 부서명 확인")</f>
        <v xml:space="preserve">Environmental Health Division </v>
      </c>
      <c r="S377" s="32" t="str">
        <f>IFERROR(VLOOKUP($I377,[1]DB2!$F$2:$I$58,4,0),"옛날 부서명 확인")</f>
        <v xml:space="preserve">Sustainable Development Research Group  </v>
      </c>
    </row>
    <row r="378" spans="2:19">
      <c r="B378" s="46" t="s">
        <v>21</v>
      </c>
      <c r="C378" s="46" t="s">
        <v>2407</v>
      </c>
      <c r="D378" s="47" t="s">
        <v>2408</v>
      </c>
      <c r="E378" s="47"/>
      <c r="F378" s="47" t="s">
        <v>2409</v>
      </c>
      <c r="G378" s="46" t="s">
        <v>1056</v>
      </c>
      <c r="H378" s="47" t="s">
        <v>408</v>
      </c>
      <c r="I378" s="47" t="s">
        <v>409</v>
      </c>
      <c r="J378" s="48">
        <v>90000000</v>
      </c>
      <c r="K378" s="49">
        <v>46141</v>
      </c>
      <c r="L378" s="49">
        <v>46410</v>
      </c>
      <c r="M378" s="47" t="s">
        <v>192</v>
      </c>
      <c r="N378" s="33" t="s">
        <v>2548</v>
      </c>
      <c r="O378" s="32" t="str">
        <f>IFERROR(VLOOKUP($G378,[1]DB2!$A:$B,2,0),"공동과책 확인")</f>
        <v>Moon, Nankyoung</v>
      </c>
      <c r="P378" s="32" t="s">
        <v>1799</v>
      </c>
      <c r="Q378" s="32"/>
      <c r="R378" s="32" t="str">
        <f>IFERROR(VLOOKUP($I378,[1]DB2!$F$2:$I$58,2,0),"옛날 부서명 확인")</f>
        <v xml:space="preserve">Land Strategy Assessment Division </v>
      </c>
      <c r="S378" s="32" t="str">
        <f>IFERROR(VLOOKUP($I378,[1]DB2!$F$2:$I$58,4,0),"옛날 부서명 확인")</f>
        <v xml:space="preserve">Environmental Assessment Group </v>
      </c>
    </row>
    <row r="379" spans="2:19">
      <c r="B379" s="46" t="s">
        <v>21</v>
      </c>
      <c r="C379" s="46" t="s">
        <v>2410</v>
      </c>
      <c r="D379" s="47" t="s">
        <v>2411</v>
      </c>
      <c r="E379" s="47"/>
      <c r="F379" s="47" t="s">
        <v>852</v>
      </c>
      <c r="G379" s="46" t="s">
        <v>853</v>
      </c>
      <c r="H379" s="47" t="s">
        <v>208</v>
      </c>
      <c r="I379" s="47" t="s">
        <v>209</v>
      </c>
      <c r="J379" s="48">
        <v>54545450</v>
      </c>
      <c r="K379" s="49">
        <v>46142</v>
      </c>
      <c r="L379" s="49">
        <v>46371</v>
      </c>
      <c r="M379" s="47" t="s">
        <v>286</v>
      </c>
      <c r="N379" s="33" t="s">
        <v>2514</v>
      </c>
      <c r="O379" s="32" t="str">
        <f>IFERROR(VLOOKUP($G379,[1]DB2!$A:$B,2,0),"공동과책 확인")</f>
        <v xml:space="preserve">Kim, Taehyun </v>
      </c>
      <c r="P379" s="32" t="s">
        <v>2259</v>
      </c>
      <c r="Q379" s="32"/>
      <c r="R379" s="32" t="str">
        <f>IFERROR(VLOOKUP($I379,[1]DB2!$F$2:$I$58,2,0),"옛날 부서명 확인")</f>
        <v>Spatial Planning and Management Division</v>
      </c>
      <c r="S379" s="32" t="str">
        <f>IFERROR(VLOOKUP($I379,[1]DB2!$F$2:$I$58,4,0),"옛날 부서명 확인")</f>
        <v xml:space="preserve">Land and Environment Research Group </v>
      </c>
    </row>
    <row r="380" spans="2:19" ht="19.5" customHeight="1">
      <c r="B380" s="46" t="s">
        <v>21</v>
      </c>
      <c r="C380" s="46" t="s">
        <v>2412</v>
      </c>
      <c r="D380" s="47" t="s">
        <v>2413</v>
      </c>
      <c r="E380" s="47"/>
      <c r="F380" s="47" t="s">
        <v>561</v>
      </c>
      <c r="G380" s="46" t="s">
        <v>562</v>
      </c>
      <c r="H380" s="47" t="s">
        <v>254</v>
      </c>
      <c r="I380" s="47" t="s">
        <v>255</v>
      </c>
      <c r="J380" s="48">
        <v>49500000</v>
      </c>
      <c r="K380" s="49">
        <v>46149</v>
      </c>
      <c r="L380" s="49">
        <v>46387</v>
      </c>
      <c r="M380" s="47" t="s">
        <v>2414</v>
      </c>
      <c r="N380" s="33" t="s">
        <v>2515</v>
      </c>
      <c r="O380" s="32" t="str">
        <f>IFERROR(VLOOKUP($G380,[1]DB2!$A:$B,2,0),"공동과책 확인")</f>
        <v>Jo, Ji Hye</v>
      </c>
      <c r="P380" s="32" t="s">
        <v>2157</v>
      </c>
      <c r="Q380" s="32"/>
      <c r="R380" s="32" t="str">
        <f>IFERROR(VLOOKUP($I380,[1]DB2!$F$2:$I$58,2,0),"옛날 부서명 확인")</f>
        <v xml:space="preserve">Circular Economy Division </v>
      </c>
      <c r="S380" s="32" t="str">
        <f>IFERROR(VLOOKUP($I380,[1]DB2!$F$2:$I$58,4,0),"옛날 부서명 확인")</f>
        <v xml:space="preserve">Sustainable Development Research Group  </v>
      </c>
    </row>
    <row r="381" spans="2:19">
      <c r="B381" s="46" t="s">
        <v>21</v>
      </c>
      <c r="C381" s="46" t="s">
        <v>2415</v>
      </c>
      <c r="D381" s="47" t="s">
        <v>2416</v>
      </c>
      <c r="E381" s="47"/>
      <c r="F381" s="47" t="s">
        <v>772</v>
      </c>
      <c r="G381" s="46" t="s">
        <v>773</v>
      </c>
      <c r="H381" s="47" t="s">
        <v>32</v>
      </c>
      <c r="I381" s="47" t="s">
        <v>27</v>
      </c>
      <c r="J381" s="48">
        <v>71032180</v>
      </c>
      <c r="K381" s="49">
        <v>46155</v>
      </c>
      <c r="L381" s="49">
        <v>46356</v>
      </c>
      <c r="M381" s="47" t="s">
        <v>168</v>
      </c>
      <c r="N381" s="33" t="s">
        <v>2517</v>
      </c>
      <c r="O381" s="32" t="str">
        <f>IFERROR(VLOOKUP($G381,[1]DB2!$A:$B,2,0),"공동과책 확인")</f>
        <v xml:space="preserve">Kim, Hyunjung </v>
      </c>
      <c r="P381" s="32" t="s">
        <v>1797</v>
      </c>
      <c r="Q381" s="32"/>
      <c r="R381" s="32" t="str">
        <f>IFERROR(VLOOKUP($I381,[1]DB2!$F$2:$I$58,2,0),"옛날 부서명 확인")</f>
        <v xml:space="preserve">Natural Environment Division </v>
      </c>
      <c r="S381" s="32" t="str">
        <f>IFERROR(VLOOKUP($I381,[1]DB2!$F$2:$I$58,4,0),"옛날 부서명 확인")</f>
        <v xml:space="preserve">Land and Environment Research Group </v>
      </c>
    </row>
    <row r="382" spans="2:19">
      <c r="B382" s="46" t="s">
        <v>21</v>
      </c>
      <c r="C382" s="46" t="s">
        <v>2417</v>
      </c>
      <c r="D382" s="47" t="s">
        <v>2559</v>
      </c>
      <c r="E382" s="47"/>
      <c r="F382" s="47" t="s">
        <v>341</v>
      </c>
      <c r="G382" s="46" t="s">
        <v>523</v>
      </c>
      <c r="H382" s="47" t="s">
        <v>343</v>
      </c>
      <c r="I382" s="47" t="s">
        <v>191</v>
      </c>
      <c r="J382" s="48">
        <v>60000000</v>
      </c>
      <c r="K382" s="49">
        <v>46160</v>
      </c>
      <c r="L382" s="49">
        <v>46356</v>
      </c>
      <c r="M382" s="47" t="s">
        <v>2418</v>
      </c>
      <c r="N382" s="33" t="s">
        <v>2560</v>
      </c>
      <c r="O382" s="32" t="str">
        <f>IFERROR(VLOOKUP($G382,[1]DB2!$A:$B,2,0),"공동과책 확인")</f>
        <v xml:space="preserve">Han, Jihyun </v>
      </c>
      <c r="P382" s="32" t="s">
        <v>1799</v>
      </c>
      <c r="Q382" s="32" t="s">
        <v>2257</v>
      </c>
      <c r="R382" s="32" t="str">
        <f>IFERROR(VLOOKUP($I382,[1]DB2!$F$2:$I$58,2,0),"옛날 부서명 확인")</f>
        <v>Atmospheric Environment Division</v>
      </c>
      <c r="S382" s="32" t="str">
        <f>IFERROR(VLOOKUP($I382,[1]DB2!$F$2:$I$58,4,0),"옛날 부서명 확인")</f>
        <v xml:space="preserve">Climate and Atmospheric Strategy Research Group  </v>
      </c>
    </row>
    <row r="383" spans="2:19">
      <c r="B383" s="46" t="s">
        <v>21</v>
      </c>
      <c r="C383" s="46" t="s">
        <v>2419</v>
      </c>
      <c r="D383" s="47" t="s">
        <v>2420</v>
      </c>
      <c r="E383" s="47"/>
      <c r="F383" s="47" t="s">
        <v>399</v>
      </c>
      <c r="G383" s="46" t="s">
        <v>400</v>
      </c>
      <c r="H383" s="47" t="s">
        <v>343</v>
      </c>
      <c r="I383" s="47" t="s">
        <v>191</v>
      </c>
      <c r="J383" s="48">
        <v>20000000</v>
      </c>
      <c r="K383" s="49">
        <v>46161</v>
      </c>
      <c r="L383" s="49">
        <v>46340</v>
      </c>
      <c r="M383" s="47" t="s">
        <v>2421</v>
      </c>
      <c r="N383" s="33" t="s">
        <v>2518</v>
      </c>
      <c r="O383" s="32" t="str">
        <f>IFERROR(VLOOKUP($G383,[1]DB2!$A:$B,2,0),"공동과책 확인")</f>
        <v>Lee, Seungmin</v>
      </c>
      <c r="P383" s="32" t="s">
        <v>1799</v>
      </c>
      <c r="Q383" s="32" t="s">
        <v>1798</v>
      </c>
      <c r="R383" s="32" t="str">
        <f>IFERROR(VLOOKUP($I383,[1]DB2!$F$2:$I$58,2,0),"옛날 부서명 확인")</f>
        <v>Atmospheric Environment Division</v>
      </c>
      <c r="S383" s="32" t="str">
        <f>IFERROR(VLOOKUP($I383,[1]DB2!$F$2:$I$58,4,0),"옛날 부서명 확인")</f>
        <v xml:space="preserve">Climate and Atmospheric Strategy Research Group  </v>
      </c>
    </row>
    <row r="384" spans="2:19">
      <c r="B384" s="46" t="s">
        <v>21</v>
      </c>
      <c r="C384" s="46" t="s">
        <v>2422</v>
      </c>
      <c r="D384" s="47" t="s">
        <v>2423</v>
      </c>
      <c r="E384" s="47"/>
      <c r="F384" s="47" t="s">
        <v>714</v>
      </c>
      <c r="G384" s="46" t="s">
        <v>715</v>
      </c>
      <c r="H384" s="47" t="s">
        <v>332</v>
      </c>
      <c r="I384" s="47" t="s">
        <v>333</v>
      </c>
      <c r="J384" s="48">
        <v>222727270</v>
      </c>
      <c r="K384" s="49">
        <v>46164</v>
      </c>
      <c r="L384" s="49">
        <v>46371</v>
      </c>
      <c r="M384" s="47" t="s">
        <v>286</v>
      </c>
      <c r="N384" s="33" t="s">
        <v>2519</v>
      </c>
      <c r="O384" s="32" t="str">
        <f>IFERROR(VLOOKUP($G384,[1]DB2!$A:$B,2,0),"공동과책 확인")</f>
        <v>Shin, Dong Won</v>
      </c>
      <c r="P384" s="32" t="s">
        <v>2255</v>
      </c>
      <c r="Q384" s="32"/>
      <c r="R384" s="32" t="str">
        <f>IFERROR(VLOOKUP($I384,[1]DB2!$F$2:$I$58,2,0),"옛날 부서명 확인")</f>
        <v xml:space="preserve">Green Economy Division </v>
      </c>
      <c r="S384" s="32" t="str">
        <f>IFERROR(VLOOKUP($I384,[1]DB2!$F$2:$I$58,4,0),"옛날 부서명 확인")</f>
        <v xml:space="preserve">Climate and Atmospheric Strategy Research Group  </v>
      </c>
    </row>
    <row r="385" spans="2:19">
      <c r="B385" s="46" t="s">
        <v>21</v>
      </c>
      <c r="C385" s="46" t="s">
        <v>2424</v>
      </c>
      <c r="D385" s="47" t="s">
        <v>2425</v>
      </c>
      <c r="E385" s="47"/>
      <c r="F385" s="47" t="s">
        <v>1864</v>
      </c>
      <c r="G385" s="46" t="s">
        <v>1865</v>
      </c>
      <c r="H385" s="47" t="s">
        <v>243</v>
      </c>
      <c r="I385" s="47" t="s">
        <v>147</v>
      </c>
      <c r="J385" s="48">
        <v>50000000</v>
      </c>
      <c r="K385" s="49">
        <v>46170</v>
      </c>
      <c r="L385" s="49">
        <v>46379</v>
      </c>
      <c r="M385" s="47" t="s">
        <v>2426</v>
      </c>
      <c r="N385" s="33" t="s">
        <v>2520</v>
      </c>
      <c r="O385" s="32" t="str">
        <f>IFERROR(VLOOKUP($G385,[1]DB2!$A:$B,2,0),"공동과책 확인")</f>
        <v>Jeong, Yunsun</v>
      </c>
      <c r="P385" s="32" t="s">
        <v>2281</v>
      </c>
      <c r="Q385" s="32"/>
      <c r="R385" s="32" t="str">
        <f>IFERROR(VLOOKUP($I385,[1]DB2!$F$2:$I$58,2,0),"옛날 부서명 확인")</f>
        <v xml:space="preserve">Environmental Health Division </v>
      </c>
      <c r="S385" s="32" t="str">
        <f>IFERROR(VLOOKUP($I385,[1]DB2!$F$2:$I$58,4,0),"옛날 부서명 확인")</f>
        <v xml:space="preserve">Sustainable Development Research Group  </v>
      </c>
    </row>
    <row r="386" spans="2:19">
      <c r="B386" s="46" t="s">
        <v>21</v>
      </c>
      <c r="C386" s="46" t="s">
        <v>2427</v>
      </c>
      <c r="D386" s="47" t="s">
        <v>2428</v>
      </c>
      <c r="E386" s="47"/>
      <c r="F386" s="47" t="s">
        <v>2429</v>
      </c>
      <c r="G386" s="46" t="s">
        <v>2430</v>
      </c>
      <c r="H386" s="47" t="s">
        <v>32</v>
      </c>
      <c r="I386" s="47" t="s">
        <v>27</v>
      </c>
      <c r="J386" s="48">
        <v>181818180</v>
      </c>
      <c r="K386" s="49">
        <v>46184</v>
      </c>
      <c r="L386" s="49">
        <v>46487</v>
      </c>
      <c r="M386" s="47" t="s">
        <v>2431</v>
      </c>
      <c r="N386" s="33" t="s">
        <v>2521</v>
      </c>
      <c r="O386" s="32" t="str">
        <f>IFERROR(VLOOKUP($G386,[1]DB2!$A:$B,2,0),"공동과책 확인")</f>
        <v>Lee, Seungjun</v>
      </c>
      <c r="P386" s="32" t="s">
        <v>1797</v>
      </c>
      <c r="Q386" s="32"/>
      <c r="R386" s="32" t="str">
        <f>IFERROR(VLOOKUP($I386,[1]DB2!$F$2:$I$58,2,0),"옛날 부서명 확인")</f>
        <v xml:space="preserve">Natural Environment Division </v>
      </c>
      <c r="S386" s="32" t="str">
        <f>IFERROR(VLOOKUP($I386,[1]DB2!$F$2:$I$58,4,0),"옛날 부서명 확인")</f>
        <v xml:space="preserve">Land and Environment Research Group </v>
      </c>
    </row>
    <row r="387" spans="2:19" ht="22.5">
      <c r="B387" s="46" t="s">
        <v>21</v>
      </c>
      <c r="C387" s="46" t="s">
        <v>2432</v>
      </c>
      <c r="D387" s="47" t="s">
        <v>2522</v>
      </c>
      <c r="E387" s="47"/>
      <c r="F387" s="47" t="s">
        <v>548</v>
      </c>
      <c r="G387" s="46" t="s">
        <v>549</v>
      </c>
      <c r="H387" s="47" t="s">
        <v>425</v>
      </c>
      <c r="I387" s="47" t="s">
        <v>124</v>
      </c>
      <c r="J387" s="48">
        <v>98596660</v>
      </c>
      <c r="K387" s="49">
        <v>46188</v>
      </c>
      <c r="L387" s="49">
        <v>46446</v>
      </c>
      <c r="M387" s="47" t="s">
        <v>2433</v>
      </c>
      <c r="N387" s="33" t="s">
        <v>2549</v>
      </c>
      <c r="O387" s="32" t="str">
        <f>IFERROR(VLOOKUP($G387,[1]DB2!$A:$B,2,0),"공동과책 확인")</f>
        <v xml:space="preserve">Moon, Jongwoo </v>
      </c>
      <c r="P387" s="32" t="s">
        <v>2255</v>
      </c>
      <c r="Q387" s="32" t="s">
        <v>2258</v>
      </c>
      <c r="R387" s="32" t="str">
        <f>IFERROR(VLOOKUP($I387,[1]DB2!$F$2:$I$58,2,0),"옛날 부서명 확인")</f>
        <v xml:space="preserve">Carbon Neutrality Division </v>
      </c>
      <c r="S387" s="32" t="str">
        <f>IFERROR(VLOOKUP($I387,[1]DB2!$F$2:$I$58,4,0),"옛날 부서명 확인")</f>
        <v xml:space="preserve">Climate and Atmospheric Strategy Research Group  </v>
      </c>
    </row>
    <row r="388" spans="2:19">
      <c r="B388" s="46" t="s">
        <v>21</v>
      </c>
      <c r="C388" s="46" t="s">
        <v>2434</v>
      </c>
      <c r="D388" s="47" t="s">
        <v>2523</v>
      </c>
      <c r="E388" s="47"/>
      <c r="F388" s="47" t="s">
        <v>80</v>
      </c>
      <c r="G388" s="46" t="s">
        <v>81</v>
      </c>
      <c r="H388" s="47" t="s">
        <v>208</v>
      </c>
      <c r="I388" s="47" t="s">
        <v>209</v>
      </c>
      <c r="J388" s="48">
        <v>79818180</v>
      </c>
      <c r="K388" s="49">
        <v>46185</v>
      </c>
      <c r="L388" s="49">
        <v>46550</v>
      </c>
      <c r="M388" s="47" t="s">
        <v>1820</v>
      </c>
      <c r="N388" s="33" t="s">
        <v>2524</v>
      </c>
      <c r="O388" s="32" t="str">
        <f>IFERROR(VLOOKUP($G388,[1]DB2!$A:$B,2,0),"공동과책 확인")</f>
        <v>Lee, MoungJin</v>
      </c>
      <c r="P388" s="32" t="s">
        <v>2255</v>
      </c>
      <c r="Q388" s="32" t="s">
        <v>2256</v>
      </c>
      <c r="R388" s="32" t="str">
        <f>IFERROR(VLOOKUP($I388,[1]DB2!$F$2:$I$58,2,0),"옛날 부서명 확인")</f>
        <v>Spatial Planning and Management Division</v>
      </c>
      <c r="S388" s="32" t="str">
        <f>IFERROR(VLOOKUP($I388,[1]DB2!$F$2:$I$58,4,0),"옛날 부서명 확인")</f>
        <v xml:space="preserve">Land and Environment Research Group </v>
      </c>
    </row>
    <row r="389" spans="2:19">
      <c r="B389" s="46" t="s">
        <v>21</v>
      </c>
      <c r="C389" s="46" t="s">
        <v>2435</v>
      </c>
      <c r="D389" s="47" t="s">
        <v>2436</v>
      </c>
      <c r="E389" s="47"/>
      <c r="F389" s="47" t="s">
        <v>406</v>
      </c>
      <c r="G389" s="46" t="s">
        <v>407</v>
      </c>
      <c r="H389" s="47" t="s">
        <v>408</v>
      </c>
      <c r="I389" s="47" t="s">
        <v>409</v>
      </c>
      <c r="J389" s="48">
        <v>151200000</v>
      </c>
      <c r="K389" s="49">
        <v>46184</v>
      </c>
      <c r="L389" s="49">
        <v>46601</v>
      </c>
      <c r="M389" s="47" t="s">
        <v>410</v>
      </c>
      <c r="N389" s="33" t="s">
        <v>2525</v>
      </c>
      <c r="O389" s="32" t="str">
        <f>IFERROR(VLOOKUP($G389,[1]DB2!$A:$B,2,0),"공동과책 확인")</f>
        <v>Baek, Donghae</v>
      </c>
      <c r="P389" s="32" t="s">
        <v>2283</v>
      </c>
      <c r="Q389" s="32" t="s">
        <v>1797</v>
      </c>
      <c r="R389" s="32" t="str">
        <f>IFERROR(VLOOKUP($I389,[1]DB2!$F$2:$I$58,2,0),"옛날 부서명 확인")</f>
        <v xml:space="preserve">Land Strategy Assessment Division </v>
      </c>
      <c r="S389" s="32" t="str">
        <f>IFERROR(VLOOKUP($I389,[1]DB2!$F$2:$I$58,4,0),"옛날 부서명 확인")</f>
        <v xml:space="preserve">Environmental Assessment Group </v>
      </c>
    </row>
    <row r="390" spans="2:19">
      <c r="B390" s="46" t="s">
        <v>21</v>
      </c>
      <c r="C390" s="46" t="s">
        <v>2437</v>
      </c>
      <c r="D390" s="47" t="s">
        <v>2438</v>
      </c>
      <c r="E390" s="47"/>
      <c r="F390" s="47" t="s">
        <v>341</v>
      </c>
      <c r="G390" s="46" t="s">
        <v>523</v>
      </c>
      <c r="H390" s="47" t="s">
        <v>343</v>
      </c>
      <c r="I390" s="47" t="s">
        <v>191</v>
      </c>
      <c r="J390" s="48">
        <v>72727270</v>
      </c>
      <c r="K390" s="49">
        <v>46190</v>
      </c>
      <c r="L390" s="49">
        <v>46374</v>
      </c>
      <c r="M390" s="47" t="s">
        <v>286</v>
      </c>
      <c r="N390" s="33" t="s">
        <v>2527</v>
      </c>
      <c r="O390" s="32" t="str">
        <f>IFERROR(VLOOKUP($G390,[1]DB2!$A:$B,2,0),"공동과책 확인")</f>
        <v xml:space="preserve">Han, Jihyun </v>
      </c>
      <c r="P390" s="32" t="s">
        <v>1799</v>
      </c>
      <c r="Q390" s="32"/>
      <c r="R390" s="32" t="str">
        <f>IFERROR(VLOOKUP($I390,[1]DB2!$F$2:$I$58,2,0),"옛날 부서명 확인")</f>
        <v>Atmospheric Environment Division</v>
      </c>
      <c r="S390" s="32" t="str">
        <f>IFERROR(VLOOKUP($I390,[1]DB2!$F$2:$I$58,4,0),"옛날 부서명 확인")</f>
        <v xml:space="preserve">Climate and Atmospheric Strategy Research Group  </v>
      </c>
    </row>
    <row r="391" spans="2:19">
      <c r="B391" s="46" t="s">
        <v>21</v>
      </c>
      <c r="C391" s="46" t="s">
        <v>2439</v>
      </c>
      <c r="D391" s="47" t="s">
        <v>2440</v>
      </c>
      <c r="E391" s="47"/>
      <c r="F391" s="47" t="s">
        <v>2441</v>
      </c>
      <c r="G391" s="46" t="s">
        <v>189</v>
      </c>
      <c r="H391" s="47" t="s">
        <v>343</v>
      </c>
      <c r="I391" s="47" t="s">
        <v>191</v>
      </c>
      <c r="J391" s="48">
        <v>30000000</v>
      </c>
      <c r="K391" s="49">
        <v>46189</v>
      </c>
      <c r="L391" s="49">
        <v>46279</v>
      </c>
      <c r="M391" s="47" t="s">
        <v>2421</v>
      </c>
      <c r="N391" s="33" t="s">
        <v>2528</v>
      </c>
      <c r="O391" s="32" t="str">
        <f>IFERROR(VLOOKUP($G391,[1]DB2!$A:$B,2,0),"공동과책 확인")</f>
        <v>Gong, Sungyong</v>
      </c>
      <c r="P391" s="32" t="s">
        <v>1799</v>
      </c>
      <c r="Q391" s="32"/>
      <c r="R391" s="32" t="str">
        <f>IFERROR(VLOOKUP($I391,[1]DB2!$F$2:$I$58,2,0),"옛날 부서명 확인")</f>
        <v>Atmospheric Environment Division</v>
      </c>
      <c r="S391" s="32" t="str">
        <f>IFERROR(VLOOKUP($I391,[1]DB2!$F$2:$I$58,4,0),"옛날 부서명 확인")</f>
        <v xml:space="preserve">Climate and Atmospheric Strategy Research Group  </v>
      </c>
    </row>
    <row r="392" spans="2:19">
      <c r="B392" s="46" t="s">
        <v>21</v>
      </c>
      <c r="C392" s="46" t="s">
        <v>2442</v>
      </c>
      <c r="D392" s="47" t="s">
        <v>2443</v>
      </c>
      <c r="E392" s="47"/>
      <c r="F392" s="47" t="s">
        <v>552</v>
      </c>
      <c r="G392" s="46" t="s">
        <v>553</v>
      </c>
      <c r="H392" s="47" t="s">
        <v>198</v>
      </c>
      <c r="I392" s="47" t="s">
        <v>199</v>
      </c>
      <c r="J392" s="48">
        <v>49100000</v>
      </c>
      <c r="K392" s="49">
        <v>46189</v>
      </c>
      <c r="L392" s="49">
        <v>46399</v>
      </c>
      <c r="M392" s="47" t="s">
        <v>2444</v>
      </c>
      <c r="N392" s="33" t="s">
        <v>2556</v>
      </c>
      <c r="O392" s="32" t="str">
        <f>IFERROR(VLOOKUP($G392,[1]DB2!$A:$B,2,0),"공동과책 확인")</f>
        <v xml:space="preserve">Oh, Myoungjin </v>
      </c>
      <c r="P392" s="32" t="s">
        <v>1801</v>
      </c>
      <c r="Q392" s="32"/>
      <c r="R392" s="32" t="str">
        <f>IFERROR(VLOOKUP($I392,[1]DB2!$F$2:$I$58,2,0),"옛날 부서명 확인")</f>
        <v xml:space="preserve">Water Management Division </v>
      </c>
      <c r="S392" s="32" t="str">
        <f>IFERROR(VLOOKUP($I392,[1]DB2!$F$2:$I$58,4,0),"옛날 부서명 확인")</f>
        <v xml:space="preserve">Land and Environment Research Group </v>
      </c>
    </row>
    <row r="393" spans="2:19" ht="22.5">
      <c r="B393" s="46" t="s">
        <v>21</v>
      </c>
      <c r="C393" s="46" t="s">
        <v>2445</v>
      </c>
      <c r="D393" s="47" t="s">
        <v>2446</v>
      </c>
      <c r="E393" s="47"/>
      <c r="F393" s="47" t="s">
        <v>278</v>
      </c>
      <c r="G393" s="46" t="s">
        <v>279</v>
      </c>
      <c r="H393" s="47" t="s">
        <v>198</v>
      </c>
      <c r="I393" s="47" t="s">
        <v>199</v>
      </c>
      <c r="J393" s="48">
        <v>148800000</v>
      </c>
      <c r="K393" s="49">
        <v>46190</v>
      </c>
      <c r="L393" s="49">
        <v>46490</v>
      </c>
      <c r="M393" s="47" t="s">
        <v>2447</v>
      </c>
      <c r="N393" s="33" t="s">
        <v>2529</v>
      </c>
      <c r="O393" s="32" t="str">
        <f>IFERROR(VLOOKUP($G393,[1]DB2!$A:$B,2,0),"공동과책 확인")</f>
        <v>Ryu, Jaena</v>
      </c>
      <c r="P393" s="32" t="s">
        <v>1801</v>
      </c>
      <c r="Q393" s="32"/>
      <c r="R393" s="32" t="str">
        <f>IFERROR(VLOOKUP($I393,[1]DB2!$F$2:$I$58,2,0),"옛날 부서명 확인")</f>
        <v xml:space="preserve">Water Management Division </v>
      </c>
      <c r="S393" s="32" t="str">
        <f>IFERROR(VLOOKUP($I393,[1]DB2!$F$2:$I$58,4,0),"옛날 부서명 확인")</f>
        <v xml:space="preserve">Land and Environment Research Group </v>
      </c>
    </row>
    <row r="394" spans="2:19">
      <c r="B394" s="46" t="s">
        <v>21</v>
      </c>
      <c r="C394" s="46" t="s">
        <v>2448</v>
      </c>
      <c r="D394" s="47" t="s">
        <v>2449</v>
      </c>
      <c r="E394" s="47"/>
      <c r="F394" s="47" t="s">
        <v>586</v>
      </c>
      <c r="G394" s="46" t="s">
        <v>587</v>
      </c>
      <c r="H394" s="47" t="s">
        <v>198</v>
      </c>
      <c r="I394" s="47" t="s">
        <v>199</v>
      </c>
      <c r="J394" s="48">
        <v>374181810</v>
      </c>
      <c r="K394" s="49">
        <v>46189</v>
      </c>
      <c r="L394" s="49">
        <v>46729</v>
      </c>
      <c r="M394" s="47" t="s">
        <v>2450</v>
      </c>
      <c r="N394" s="33" t="s">
        <v>2530</v>
      </c>
      <c r="O394" s="32" t="str">
        <f>IFERROR(VLOOKUP($G394,[1]DB2!$A:$B,2,0),"공동과책 확인")</f>
        <v>Kim, Yeonjoong</v>
      </c>
      <c r="P394" s="32" t="s">
        <v>1797</v>
      </c>
      <c r="Q394" s="32" t="s">
        <v>1801</v>
      </c>
      <c r="R394" s="32" t="str">
        <f>IFERROR(VLOOKUP($I394,[1]DB2!$F$2:$I$58,2,0),"옛날 부서명 확인")</f>
        <v xml:space="preserve">Water Management Division </v>
      </c>
      <c r="S394" s="32" t="str">
        <f>IFERROR(VLOOKUP($I394,[1]DB2!$F$2:$I$58,4,0),"옛날 부서명 확인")</f>
        <v xml:space="preserve">Land and Environment Research Group </v>
      </c>
    </row>
    <row r="395" spans="2:19">
      <c r="B395" s="46" t="s">
        <v>21</v>
      </c>
      <c r="C395" s="46" t="s">
        <v>2451</v>
      </c>
      <c r="D395" s="47" t="s">
        <v>2452</v>
      </c>
      <c r="E395" s="47"/>
      <c r="F395" s="47" t="s">
        <v>683</v>
      </c>
      <c r="G395" s="46" t="s">
        <v>684</v>
      </c>
      <c r="H395" s="47" t="s">
        <v>32</v>
      </c>
      <c r="I395" s="47" t="s">
        <v>27</v>
      </c>
      <c r="J395" s="48">
        <v>97272000</v>
      </c>
      <c r="K395" s="49">
        <v>46188</v>
      </c>
      <c r="L395" s="49">
        <v>46371</v>
      </c>
      <c r="M395" s="47" t="s">
        <v>168</v>
      </c>
      <c r="N395" s="33" t="s">
        <v>2551</v>
      </c>
      <c r="O395" s="32" t="str">
        <f>IFERROR(VLOOKUP($G395,[1]DB2!$A:$B,2,0),"공동과책 확인")</f>
        <v>Kim, Yoonjung</v>
      </c>
      <c r="P395" s="32" t="s">
        <v>1797</v>
      </c>
      <c r="Q395" s="32" t="s">
        <v>1798</v>
      </c>
      <c r="R395" s="32" t="str">
        <f>IFERROR(VLOOKUP($I395,[1]DB2!$F$2:$I$58,2,0),"옛날 부서명 확인")</f>
        <v xml:space="preserve">Natural Environment Division </v>
      </c>
      <c r="S395" s="32" t="str">
        <f>IFERROR(VLOOKUP($I395,[1]DB2!$F$2:$I$58,4,0),"옛날 부서명 확인")</f>
        <v xml:space="preserve">Land and Environment Research Group </v>
      </c>
    </row>
    <row r="396" spans="2:19">
      <c r="B396" s="46" t="s">
        <v>21</v>
      </c>
      <c r="C396" s="46" t="s">
        <v>2453</v>
      </c>
      <c r="D396" s="47" t="s">
        <v>2454</v>
      </c>
      <c r="E396" s="47"/>
      <c r="F396" s="47" t="s">
        <v>273</v>
      </c>
      <c r="G396" s="46" t="s">
        <v>274</v>
      </c>
      <c r="H396" s="47" t="s">
        <v>198</v>
      </c>
      <c r="I396" s="47" t="s">
        <v>199</v>
      </c>
      <c r="J396" s="48">
        <v>121405360</v>
      </c>
      <c r="K396" s="49">
        <v>46189</v>
      </c>
      <c r="L396" s="49">
        <v>46399</v>
      </c>
      <c r="M396" s="47" t="s">
        <v>131</v>
      </c>
      <c r="N396" s="33" t="s">
        <v>2531</v>
      </c>
      <c r="O396" s="32" t="str">
        <f>IFERROR(VLOOKUP($G396,[1]DB2!$A:$B,2,0),"공동과책 확인")</f>
        <v>Jeon, Dongjin</v>
      </c>
      <c r="P396" s="32" t="s">
        <v>1801</v>
      </c>
      <c r="Q396" s="32" t="s">
        <v>1798</v>
      </c>
      <c r="R396" s="32" t="str">
        <f>IFERROR(VLOOKUP($I396,[1]DB2!$F$2:$I$58,2,0),"옛날 부서명 확인")</f>
        <v xml:space="preserve">Water Management Division </v>
      </c>
      <c r="S396" s="32" t="str">
        <f>IFERROR(VLOOKUP($I396,[1]DB2!$F$2:$I$58,4,0),"옛날 부서명 확인")</f>
        <v xml:space="preserve">Land and Environment Research Group </v>
      </c>
    </row>
    <row r="397" spans="2:19">
      <c r="B397" s="46" t="s">
        <v>21</v>
      </c>
      <c r="C397" s="46" t="s">
        <v>2455</v>
      </c>
      <c r="D397" s="47" t="s">
        <v>2456</v>
      </c>
      <c r="E397" s="47"/>
      <c r="F397" s="47" t="s">
        <v>1904</v>
      </c>
      <c r="G397" s="46" t="s">
        <v>1295</v>
      </c>
      <c r="H397" s="47" t="s">
        <v>382</v>
      </c>
      <c r="I397" s="47" t="s">
        <v>383</v>
      </c>
      <c r="J397" s="48">
        <v>49300000</v>
      </c>
      <c r="K397" s="49">
        <v>46192</v>
      </c>
      <c r="L397" s="49">
        <v>46492</v>
      </c>
      <c r="M397" s="47" t="s">
        <v>2129</v>
      </c>
      <c r="N397" s="33" t="s">
        <v>2557</v>
      </c>
      <c r="O397" s="32" t="str">
        <f>IFERROR(VLOOKUP($G397,[1]DB2!$A:$B,2,0),"공동과책 확인")</f>
        <v>Yun, Seokhwan</v>
      </c>
      <c r="P397" s="32" t="s">
        <v>1796</v>
      </c>
      <c r="Q397" s="32" t="s">
        <v>2257</v>
      </c>
      <c r="R397" s="32" t="str">
        <f>IFERROR(VLOOKUP($I397,[1]DB2!$F$2:$I$58,2,0),"옛날 부서명 확인")</f>
        <v xml:space="preserve">Social Infrastructure Assessment Division </v>
      </c>
      <c r="S397" s="32" t="str">
        <f>IFERROR(VLOOKUP($I397,[1]DB2!$F$2:$I$58,4,0),"옛날 부서명 확인")</f>
        <v xml:space="preserve">Environmental Assessment Group </v>
      </c>
    </row>
    <row r="398" spans="2:19">
      <c r="B398" s="46" t="s">
        <v>836</v>
      </c>
      <c r="C398" s="46" t="s">
        <v>2457</v>
      </c>
      <c r="D398" s="47" t="s">
        <v>2458</v>
      </c>
      <c r="E398" s="47"/>
      <c r="F398" s="47" t="s">
        <v>886</v>
      </c>
      <c r="G398" s="46" t="s">
        <v>887</v>
      </c>
      <c r="H398" s="47" t="s">
        <v>888</v>
      </c>
      <c r="I398" s="47" t="s">
        <v>889</v>
      </c>
      <c r="J398" s="48">
        <v>90000000</v>
      </c>
      <c r="K398" s="49">
        <v>46113</v>
      </c>
      <c r="L398" s="49">
        <v>46477</v>
      </c>
      <c r="M398" s="47"/>
      <c r="N398" s="33" t="s">
        <v>2532</v>
      </c>
      <c r="O398" s="32" t="str">
        <f>IFERROR(VLOOKUP($G398,[1]DB2!$A:$B,2,0),"공동과책 확인")</f>
        <v>Choi, Kwanghun</v>
      </c>
      <c r="P398" s="32" t="s">
        <v>2257</v>
      </c>
      <c r="Q398" s="32"/>
      <c r="R398" s="32" t="str">
        <f>IFERROR(VLOOKUP($I398,[1]DB2!$F$2:$I$58,2,0),"옛날 부서명 확인")</f>
        <v xml:space="preserve">AI and Data Team </v>
      </c>
      <c r="S398" s="32" t="str">
        <f>IFERROR(VLOOKUP($I398,[1]DB2!$F$2:$I$58,4,0),"옛날 부서명 확인")</f>
        <v xml:space="preserve">Department of Planning and Strategy </v>
      </c>
    </row>
    <row r="399" spans="2:19">
      <c r="B399" s="46" t="s">
        <v>836</v>
      </c>
      <c r="C399" s="46" t="s">
        <v>2459</v>
      </c>
      <c r="D399" s="47" t="s">
        <v>2460</v>
      </c>
      <c r="E399" s="47"/>
      <c r="F399" s="47" t="s">
        <v>800</v>
      </c>
      <c r="G399" s="46" t="s">
        <v>801</v>
      </c>
      <c r="H399" s="47" t="s">
        <v>787</v>
      </c>
      <c r="I399" s="47" t="s">
        <v>788</v>
      </c>
      <c r="J399" s="48">
        <v>90000000</v>
      </c>
      <c r="K399" s="49">
        <v>46113</v>
      </c>
      <c r="L399" s="49">
        <v>46477</v>
      </c>
      <c r="M399" s="47"/>
      <c r="N399" s="33" t="s">
        <v>2533</v>
      </c>
      <c r="O399" s="32" t="str">
        <f>IFERROR(VLOOKUP($G399,[1]DB2!$A:$B,2,0),"공동과책 확인")</f>
        <v>Park, Jun Hyun</v>
      </c>
      <c r="P399" s="32" t="s">
        <v>2258</v>
      </c>
      <c r="Q399" s="32"/>
      <c r="R399" s="32" t="str">
        <f>IFERROR(VLOOKUP($I399,[1]DB2!$F$2:$I$58,2,0),"옛날 부서명 확인")</f>
        <v>Global Cooperation Team</v>
      </c>
      <c r="S399" s="32" t="str">
        <f>IFERROR(VLOOKUP($I399,[1]DB2!$F$2:$I$58,4,0),"옛날 부서명 확인")</f>
        <v xml:space="preserve">Department of Planning and Strategy </v>
      </c>
    </row>
    <row r="400" spans="2:19">
      <c r="B400" s="46" t="s">
        <v>836</v>
      </c>
      <c r="C400" s="46" t="s">
        <v>2461</v>
      </c>
      <c r="D400" s="47" t="s">
        <v>2462</v>
      </c>
      <c r="E400" s="47"/>
      <c r="F400" s="47" t="s">
        <v>966</v>
      </c>
      <c r="G400" s="46" t="s">
        <v>967</v>
      </c>
      <c r="H400" s="47" t="s">
        <v>38</v>
      </c>
      <c r="I400" s="47" t="s">
        <v>39</v>
      </c>
      <c r="J400" s="48">
        <v>23900000</v>
      </c>
      <c r="K400" s="49">
        <v>46174</v>
      </c>
      <c r="L400" s="49">
        <v>46477</v>
      </c>
      <c r="M400" s="47"/>
      <c r="N400" s="33" t="s">
        <v>2534</v>
      </c>
      <c r="O400" s="32" t="str">
        <f>IFERROR(VLOOKUP($G400,[1]DB2!$A:$B,2,0),"공동과책 확인")</f>
        <v>Kim, Dokyun</v>
      </c>
      <c r="P400" s="32" t="s">
        <v>2259</v>
      </c>
      <c r="Q400" s="32"/>
      <c r="R400" s="32" t="str">
        <f>IFERROR(VLOOKUP($I400,[1]DB2!$F$2:$I$58,2,0),"옛날 부서명 확인")</f>
        <v xml:space="preserve">Living Environment and Society Division </v>
      </c>
      <c r="S400" s="32" t="str">
        <f>IFERROR(VLOOKUP($I400,[1]DB2!$F$2:$I$58,4,0),"옛날 부서명 확인")</f>
        <v xml:space="preserve">Sustainable Development Research Group  </v>
      </c>
    </row>
    <row r="401" spans="2:19">
      <c r="B401" s="46" t="s">
        <v>836</v>
      </c>
      <c r="C401" s="46" t="s">
        <v>2463</v>
      </c>
      <c r="D401" s="47" t="s">
        <v>2464</v>
      </c>
      <c r="E401" s="47"/>
      <c r="F401" s="47" t="s">
        <v>278</v>
      </c>
      <c r="G401" s="46" t="s">
        <v>279</v>
      </c>
      <c r="H401" s="47" t="s">
        <v>198</v>
      </c>
      <c r="I401" s="47" t="s">
        <v>199</v>
      </c>
      <c r="J401" s="48">
        <v>30000000</v>
      </c>
      <c r="K401" s="49">
        <v>46113</v>
      </c>
      <c r="L401" s="49">
        <v>46477</v>
      </c>
      <c r="M401" s="47"/>
      <c r="N401" s="33" t="s">
        <v>2552</v>
      </c>
      <c r="O401" s="32" t="str">
        <f>IFERROR(VLOOKUP($G401,[1]DB2!$A:$B,2,0),"공동과책 확인")</f>
        <v>Ryu, Jaena</v>
      </c>
      <c r="P401" s="32" t="s">
        <v>1798</v>
      </c>
      <c r="Q401" s="32"/>
      <c r="R401" s="32" t="str">
        <f>IFERROR(VLOOKUP($I401,[1]DB2!$F$2:$I$58,2,0),"옛날 부서명 확인")</f>
        <v xml:space="preserve">Water Management Division </v>
      </c>
      <c r="S401" s="32" t="str">
        <f>IFERROR(VLOOKUP($I401,[1]DB2!$F$2:$I$58,4,0),"옛날 부서명 확인")</f>
        <v xml:space="preserve">Land and Environment Research Group </v>
      </c>
    </row>
    <row r="402" spans="2:19">
      <c r="B402" s="46" t="s">
        <v>836</v>
      </c>
      <c r="C402" s="46" t="s">
        <v>2465</v>
      </c>
      <c r="D402" s="47" t="s">
        <v>2466</v>
      </c>
      <c r="E402" s="47"/>
      <c r="F402" s="47" t="s">
        <v>586</v>
      </c>
      <c r="G402" s="46" t="s">
        <v>587</v>
      </c>
      <c r="H402" s="47" t="s">
        <v>198</v>
      </c>
      <c r="I402" s="47" t="s">
        <v>199</v>
      </c>
      <c r="J402" s="48">
        <v>30000000</v>
      </c>
      <c r="K402" s="49">
        <v>46113</v>
      </c>
      <c r="L402" s="49">
        <v>46477</v>
      </c>
      <c r="M402" s="47"/>
      <c r="N402" s="33" t="s">
        <v>2535</v>
      </c>
      <c r="O402" s="32" t="str">
        <f>IFERROR(VLOOKUP($G402,[1]DB2!$A:$B,2,0),"공동과책 확인")</f>
        <v>Kim, Yeonjoong</v>
      </c>
      <c r="P402" s="32" t="s">
        <v>1801</v>
      </c>
      <c r="Q402" s="32"/>
      <c r="R402" s="32" t="str">
        <f>IFERROR(VLOOKUP($I402,[1]DB2!$F$2:$I$58,2,0),"옛날 부서명 확인")</f>
        <v xml:space="preserve">Water Management Division </v>
      </c>
      <c r="S402" s="32" t="str">
        <f>IFERROR(VLOOKUP($I402,[1]DB2!$F$2:$I$58,4,0),"옛날 부서명 확인")</f>
        <v xml:space="preserve">Land and Environment Research Group </v>
      </c>
    </row>
    <row r="403" spans="2:19">
      <c r="B403" s="46" t="s">
        <v>836</v>
      </c>
      <c r="C403" s="46" t="s">
        <v>2467</v>
      </c>
      <c r="D403" s="47" t="s">
        <v>2468</v>
      </c>
      <c r="E403" s="47"/>
      <c r="F403" s="47" t="s">
        <v>1901</v>
      </c>
      <c r="G403" s="46" t="s">
        <v>1246</v>
      </c>
      <c r="H403" s="47" t="s">
        <v>425</v>
      </c>
      <c r="I403" s="47" t="s">
        <v>124</v>
      </c>
      <c r="J403" s="48">
        <v>30000000</v>
      </c>
      <c r="K403" s="49">
        <v>46113</v>
      </c>
      <c r="L403" s="49">
        <v>46477</v>
      </c>
      <c r="M403" s="47"/>
      <c r="N403" s="33" t="s">
        <v>2536</v>
      </c>
      <c r="O403" s="32" t="str">
        <f>IFERROR(VLOOKUP($G403,[1]DB2!$A:$B,2,0),"공동과책 확인")</f>
        <v xml:space="preserve">Lim, Hyungwoo </v>
      </c>
      <c r="P403" s="32" t="s">
        <v>2255</v>
      </c>
      <c r="Q403" s="32" t="s">
        <v>1800</v>
      </c>
      <c r="R403" s="32" t="str">
        <f>IFERROR(VLOOKUP($I403,[1]DB2!$F$2:$I$58,2,0),"옛날 부서명 확인")</f>
        <v xml:space="preserve">Carbon Neutrality Division </v>
      </c>
      <c r="S403" s="32" t="str">
        <f>IFERROR(VLOOKUP($I403,[1]DB2!$F$2:$I$58,4,0),"옛날 부서명 확인")</f>
        <v xml:space="preserve">Climate and Atmospheric Strategy Research Group  </v>
      </c>
    </row>
    <row r="404" spans="2:19">
      <c r="B404" s="46" t="s">
        <v>836</v>
      </c>
      <c r="C404" s="46" t="s">
        <v>2469</v>
      </c>
      <c r="D404" s="47" t="s">
        <v>2470</v>
      </c>
      <c r="E404" s="47"/>
      <c r="F404" s="47" t="s">
        <v>175</v>
      </c>
      <c r="G404" s="46" t="s">
        <v>176</v>
      </c>
      <c r="H404" s="47" t="s">
        <v>434</v>
      </c>
      <c r="I404" s="47" t="s">
        <v>435</v>
      </c>
      <c r="J404" s="48">
        <v>100000000</v>
      </c>
      <c r="K404" s="49">
        <v>46113</v>
      </c>
      <c r="L404" s="49">
        <v>46477</v>
      </c>
      <c r="M404" s="47"/>
      <c r="N404" s="33" t="s">
        <v>2537</v>
      </c>
      <c r="O404" s="32" t="str">
        <f>IFERROR(VLOOKUP($G404,[1]DB2!$A:$B,2,0),"공동과책 확인")</f>
        <v>Kang, Hyeongsik</v>
      </c>
      <c r="P404" s="32" t="s">
        <v>1801</v>
      </c>
      <c r="Q404" s="32" t="s">
        <v>1798</v>
      </c>
      <c r="R404" s="32" t="str">
        <f>IFERROR(VLOOKUP($I404,[1]DB2!$F$2:$I$58,2,0),"옛날 부서명 확인")</f>
        <v xml:space="preserve">Land and Environment Research Group </v>
      </c>
      <c r="S404" s="32" t="str">
        <f>IFERROR(VLOOKUP($I404,[1]DB2!$F$2:$I$58,4,0),"옛날 부서명 확인")</f>
        <v xml:space="preserve">Land and Environment Research Group </v>
      </c>
    </row>
    <row r="405" spans="2:19">
      <c r="B405" s="46" t="s">
        <v>836</v>
      </c>
      <c r="C405" s="46" t="s">
        <v>2471</v>
      </c>
      <c r="D405" s="47" t="s">
        <v>2553</v>
      </c>
      <c r="E405" s="47"/>
      <c r="F405" s="47" t="s">
        <v>420</v>
      </c>
      <c r="G405" s="46" t="s">
        <v>2472</v>
      </c>
      <c r="H405" s="47" t="s">
        <v>382</v>
      </c>
      <c r="I405" s="47" t="s">
        <v>383</v>
      </c>
      <c r="J405" s="48">
        <v>90000000</v>
      </c>
      <c r="K405" s="49">
        <v>46113</v>
      </c>
      <c r="L405" s="49">
        <v>46477</v>
      </c>
      <c r="M405" s="47"/>
      <c r="N405" s="33" t="s">
        <v>2558</v>
      </c>
      <c r="O405" s="32" t="s">
        <v>2499</v>
      </c>
      <c r="P405" s="32" t="s">
        <v>2257</v>
      </c>
      <c r="Q405" s="32"/>
      <c r="R405" s="32" t="str">
        <f>IFERROR(VLOOKUP($I405,[1]DB2!$F$2:$I$58,2,0),"옛날 부서명 확인")</f>
        <v xml:space="preserve">Social Infrastructure Assessment Division </v>
      </c>
      <c r="S405" s="32" t="str">
        <f>IFERROR(VLOOKUP($I405,[1]DB2!$F$2:$I$58,4,0),"옛날 부서명 확인")</f>
        <v xml:space="preserve">Environmental Assessment Group </v>
      </c>
    </row>
    <row r="406" spans="2:19">
      <c r="B406" s="46" t="s">
        <v>836</v>
      </c>
      <c r="C406" s="46" t="s">
        <v>2473</v>
      </c>
      <c r="D406" s="47" t="s">
        <v>2474</v>
      </c>
      <c r="E406" s="47"/>
      <c r="F406" s="47" t="s">
        <v>772</v>
      </c>
      <c r="G406" s="46" t="s">
        <v>2475</v>
      </c>
      <c r="H406" s="47" t="s">
        <v>32</v>
      </c>
      <c r="I406" s="47" t="s">
        <v>27</v>
      </c>
      <c r="J406" s="48">
        <v>50000000</v>
      </c>
      <c r="K406" s="49">
        <v>46113</v>
      </c>
      <c r="L406" s="49">
        <v>46477</v>
      </c>
      <c r="M406" s="47"/>
      <c r="N406" s="33" t="s">
        <v>2538</v>
      </c>
      <c r="O406" s="32" t="s">
        <v>2500</v>
      </c>
      <c r="P406" s="32" t="s">
        <v>1800</v>
      </c>
      <c r="Q406" s="32" t="s">
        <v>2259</v>
      </c>
      <c r="R406" s="32" t="str">
        <f>IFERROR(VLOOKUP($I406,[1]DB2!$F$2:$I$58,2,0),"옛날 부서명 확인")</f>
        <v xml:space="preserve">Natural Environment Division </v>
      </c>
      <c r="S406" s="32" t="str">
        <f>IFERROR(VLOOKUP($I406,[1]DB2!$F$2:$I$58,4,0),"옛날 부서명 확인")</f>
        <v xml:space="preserve">Land and Environment Research Group </v>
      </c>
    </row>
    <row r="407" spans="2:19">
      <c r="B407" s="46" t="s">
        <v>836</v>
      </c>
      <c r="C407" s="46" t="s">
        <v>2476</v>
      </c>
      <c r="D407" s="47" t="s">
        <v>2477</v>
      </c>
      <c r="E407" s="47"/>
      <c r="F407" s="47" t="s">
        <v>2478</v>
      </c>
      <c r="G407" s="46" t="s">
        <v>2479</v>
      </c>
      <c r="H407" s="47" t="s">
        <v>2480</v>
      </c>
      <c r="I407" s="47" t="s">
        <v>952</v>
      </c>
      <c r="J407" s="48">
        <v>73500000</v>
      </c>
      <c r="K407" s="49">
        <v>46113</v>
      </c>
      <c r="L407" s="49">
        <v>46477</v>
      </c>
      <c r="M407" s="47"/>
      <c r="N407" s="33" t="s">
        <v>2539</v>
      </c>
      <c r="O407" s="32" t="str">
        <f>IFERROR(VLOOKUP($G407,[1]DB2!$A:$B,2,0),"공동과책 확인")</f>
        <v>Shin, Kyunghee</v>
      </c>
      <c r="P407" s="32" t="s">
        <v>2259</v>
      </c>
      <c r="Q407" s="32"/>
      <c r="R407" s="32" t="s">
        <v>2498</v>
      </c>
      <c r="S407" s="32" t="s">
        <v>2497</v>
      </c>
    </row>
    <row r="408" spans="2:19">
      <c r="B408" s="46" t="s">
        <v>836</v>
      </c>
      <c r="C408" s="46" t="s">
        <v>2481</v>
      </c>
      <c r="D408" s="47" t="s">
        <v>2482</v>
      </c>
      <c r="E408" s="47"/>
      <c r="F408" s="47" t="s">
        <v>667</v>
      </c>
      <c r="G408" s="46" t="s">
        <v>668</v>
      </c>
      <c r="H408" s="47" t="s">
        <v>332</v>
      </c>
      <c r="I408" s="47" t="s">
        <v>333</v>
      </c>
      <c r="J408" s="48">
        <v>60000000</v>
      </c>
      <c r="K408" s="49">
        <v>46113</v>
      </c>
      <c r="L408" s="49">
        <v>46477</v>
      </c>
      <c r="M408" s="47"/>
      <c r="N408" s="33" t="s">
        <v>2540</v>
      </c>
      <c r="O408" s="32" t="str">
        <f>IFERROR(VLOOKUP($G408,[1]DB2!$A:$B,2,0),"공동과책 확인")</f>
        <v>Kang, Taek Goo</v>
      </c>
      <c r="P408" s="32" t="s">
        <v>2258</v>
      </c>
      <c r="Q408" s="32"/>
      <c r="R408" s="32" t="str">
        <f>IFERROR(VLOOKUP($I408,[1]DB2!$F$2:$I$58,2,0),"옛날 부서명 확인")</f>
        <v xml:space="preserve">Green Economy Division </v>
      </c>
      <c r="S408" s="32" t="str">
        <f>IFERROR(VLOOKUP($I408,[1]DB2!$F$2:$I$58,4,0),"옛날 부서명 확인")</f>
        <v xml:space="preserve">Climate and Atmospheric Strategy Research Group  </v>
      </c>
    </row>
    <row r="409" spans="2:19">
      <c r="B409" s="46" t="s">
        <v>836</v>
      </c>
      <c r="C409" s="46" t="s">
        <v>2483</v>
      </c>
      <c r="D409" s="47" t="s">
        <v>2541</v>
      </c>
      <c r="E409" s="47"/>
      <c r="F409" s="47" t="s">
        <v>966</v>
      </c>
      <c r="G409" s="46" t="s">
        <v>967</v>
      </c>
      <c r="H409" s="47" t="s">
        <v>38</v>
      </c>
      <c r="I409" s="47" t="s">
        <v>39</v>
      </c>
      <c r="J409" s="48">
        <v>50000000</v>
      </c>
      <c r="K409" s="49">
        <v>46113</v>
      </c>
      <c r="L409" s="49">
        <v>46477</v>
      </c>
      <c r="M409" s="47"/>
      <c r="N409" s="33" t="s">
        <v>2554</v>
      </c>
      <c r="O409" s="32" t="str">
        <f>IFERROR(VLOOKUP($G409,[1]DB2!$A:$B,2,0),"공동과책 확인")</f>
        <v>Kim, Dokyun</v>
      </c>
      <c r="P409" s="32" t="s">
        <v>2255</v>
      </c>
      <c r="Q409" s="32" t="s">
        <v>2256</v>
      </c>
      <c r="R409" s="32" t="str">
        <f>IFERROR(VLOOKUP($I409,[1]DB2!$F$2:$I$58,2,0),"옛날 부서명 확인")</f>
        <v xml:space="preserve">Living Environment and Society Division </v>
      </c>
      <c r="S409" s="32" t="str">
        <f>IFERROR(VLOOKUP($I409,[1]DB2!$F$2:$I$58,4,0),"옛날 부서명 확인")</f>
        <v xml:space="preserve">Sustainable Development Research Group  </v>
      </c>
    </row>
    <row r="410" spans="2:19">
      <c r="B410" s="46" t="s">
        <v>836</v>
      </c>
      <c r="C410" s="46" t="s">
        <v>2484</v>
      </c>
      <c r="D410" s="47" t="s">
        <v>2542</v>
      </c>
      <c r="E410" s="47"/>
      <c r="F410" s="47" t="s">
        <v>509</v>
      </c>
      <c r="G410" s="46" t="s">
        <v>510</v>
      </c>
      <c r="H410" s="47" t="s">
        <v>32</v>
      </c>
      <c r="I410" s="47" t="s">
        <v>27</v>
      </c>
      <c r="J410" s="48">
        <v>50000000</v>
      </c>
      <c r="K410" s="49">
        <v>46113</v>
      </c>
      <c r="L410" s="49">
        <v>46477</v>
      </c>
      <c r="M410" s="47"/>
      <c r="N410" s="33" t="s">
        <v>2555</v>
      </c>
      <c r="O410" s="32" t="str">
        <f>IFERROR(VLOOKUP($G410,[1]DB2!$A:$B,2,0),"공동과책 확인")</f>
        <v>Lee, Who-Seung</v>
      </c>
      <c r="P410" s="32" t="s">
        <v>1797</v>
      </c>
      <c r="Q410" s="32" t="s">
        <v>2255</v>
      </c>
      <c r="R410" s="32" t="str">
        <f>IFERROR(VLOOKUP($I410,[1]DB2!$F$2:$I$58,2,0),"옛날 부서명 확인")</f>
        <v xml:space="preserve">Natural Environment Division </v>
      </c>
      <c r="S410" s="32" t="str">
        <f>IFERROR(VLOOKUP($I410,[1]DB2!$F$2:$I$58,4,0),"옛날 부서명 확인")</f>
        <v xml:space="preserve">Land and Environment Research Group </v>
      </c>
    </row>
    <row r="411" spans="2:19">
      <c r="B411" s="46" t="s">
        <v>836</v>
      </c>
      <c r="C411" s="46" t="s">
        <v>2485</v>
      </c>
      <c r="D411" s="47" t="s">
        <v>2486</v>
      </c>
      <c r="E411" s="47"/>
      <c r="F411" s="47" t="s">
        <v>946</v>
      </c>
      <c r="G411" s="46" t="s">
        <v>947</v>
      </c>
      <c r="H411" s="47" t="s">
        <v>476</v>
      </c>
      <c r="I411" s="47" t="s">
        <v>477</v>
      </c>
      <c r="J411" s="48">
        <v>70000000</v>
      </c>
      <c r="K411" s="49">
        <v>46113</v>
      </c>
      <c r="L411" s="49">
        <v>46477</v>
      </c>
      <c r="M411" s="47"/>
      <c r="N411" s="33" t="s">
        <v>2543</v>
      </c>
      <c r="O411" s="32" t="str">
        <f>IFERROR(VLOOKUP($G411,[1]DB2!$A:$B,2,0),"공동과책 확인")</f>
        <v xml:space="preserve">Rhee, Youngjoon </v>
      </c>
      <c r="P411" s="32" t="s">
        <v>1796</v>
      </c>
      <c r="Q411" s="32" t="s">
        <v>2257</v>
      </c>
      <c r="R411" s="32" t="str">
        <f>IFERROR(VLOOKUP($I411,[1]DB2!$F$2:$I$58,2,0),"옛날 부서명 확인")</f>
        <v xml:space="preserve">Environmental Resources Assessment Division </v>
      </c>
      <c r="S411" s="32" t="str">
        <f>IFERROR(VLOOKUP($I411,[1]DB2!$F$2:$I$58,4,0),"옛날 부서명 확인")</f>
        <v xml:space="preserve">Environmental Assessment Group </v>
      </c>
    </row>
    <row r="412" spans="2:19">
      <c r="B412" s="46" t="s">
        <v>953</v>
      </c>
      <c r="C412" s="46" t="s">
        <v>2487</v>
      </c>
      <c r="D412" s="47" t="s">
        <v>2488</v>
      </c>
      <c r="E412" s="47"/>
      <c r="F412" s="47" t="s">
        <v>225</v>
      </c>
      <c r="G412" s="46" t="s">
        <v>226</v>
      </c>
      <c r="H412" s="47" t="s">
        <v>243</v>
      </c>
      <c r="I412" s="47" t="s">
        <v>147</v>
      </c>
      <c r="J412" s="48">
        <v>15000000</v>
      </c>
      <c r="K412" s="49">
        <v>46113</v>
      </c>
      <c r="L412" s="49">
        <v>46295</v>
      </c>
      <c r="M412" s="47"/>
      <c r="N412" s="33" t="s">
        <v>2544</v>
      </c>
      <c r="O412" s="32" t="str">
        <f>IFERROR(VLOOKUP($G412,[1]DB2!$A:$B,2,0),"공동과책 확인")</f>
        <v xml:space="preserve">Jung, Dawoon </v>
      </c>
      <c r="P412" s="32" t="s">
        <v>2281</v>
      </c>
      <c r="Q412" s="32"/>
      <c r="R412" s="32" t="str">
        <f>IFERROR(VLOOKUP($I412,[1]DB2!$F$2:$I$58,2,0),"옛날 부서명 확인")</f>
        <v xml:space="preserve">Environmental Health Division </v>
      </c>
      <c r="S412" s="32" t="str">
        <f>IFERROR(VLOOKUP($I412,[1]DB2!$F$2:$I$58,4,0),"옛날 부서명 확인")</f>
        <v xml:space="preserve">Sustainable Development Research Group  </v>
      </c>
    </row>
    <row r="413" spans="2:19">
      <c r="B413" s="46" t="s">
        <v>953</v>
      </c>
      <c r="C413" s="46" t="s">
        <v>2489</v>
      </c>
      <c r="D413" s="47" t="s">
        <v>2490</v>
      </c>
      <c r="E413" s="47"/>
      <c r="F413" s="47" t="s">
        <v>361</v>
      </c>
      <c r="G413" s="46" t="s">
        <v>362</v>
      </c>
      <c r="H413" s="47" t="s">
        <v>198</v>
      </c>
      <c r="I413" s="47" t="s">
        <v>199</v>
      </c>
      <c r="J413" s="48">
        <v>19815000</v>
      </c>
      <c r="K413" s="49">
        <v>46125</v>
      </c>
      <c r="L413" s="49">
        <v>46307</v>
      </c>
      <c r="M413" s="47"/>
      <c r="N413" s="33" t="s">
        <v>2545</v>
      </c>
      <c r="O413" s="32" t="str">
        <f>IFERROR(VLOOKUP($G413,[1]DB2!$A:$B,2,0),"공동과책 확인")</f>
        <v>Ahn, Jongho</v>
      </c>
      <c r="P413" s="32" t="s">
        <v>1801</v>
      </c>
      <c r="Q413" s="32" t="s">
        <v>1800</v>
      </c>
      <c r="R413" s="32" t="str">
        <f>IFERROR(VLOOKUP($I413,[1]DB2!$F$2:$I$58,2,0),"옛날 부서명 확인")</f>
        <v xml:space="preserve">Water Management Division </v>
      </c>
      <c r="S413" s="32" t="str">
        <f>IFERROR(VLOOKUP($I413,[1]DB2!$F$2:$I$58,4,0),"옛날 부서명 확인")</f>
        <v xml:space="preserve">Land and Environment Research Group </v>
      </c>
    </row>
    <row r="414" spans="2:19">
      <c r="B414" s="46" t="s">
        <v>953</v>
      </c>
      <c r="C414" s="46" t="s">
        <v>2491</v>
      </c>
      <c r="D414" s="47" t="s">
        <v>2492</v>
      </c>
      <c r="E414" s="47"/>
      <c r="F414" s="47" t="s">
        <v>214</v>
      </c>
      <c r="G414" s="46" t="s">
        <v>215</v>
      </c>
      <c r="H414" s="47" t="s">
        <v>198</v>
      </c>
      <c r="I414" s="47" t="s">
        <v>199</v>
      </c>
      <c r="J414" s="48">
        <v>10000000</v>
      </c>
      <c r="K414" s="49">
        <v>46154</v>
      </c>
      <c r="L414" s="49">
        <v>46246</v>
      </c>
      <c r="M414" s="47"/>
      <c r="N414" s="33" t="s">
        <v>2546</v>
      </c>
      <c r="O414" s="32" t="str">
        <f>IFERROR(VLOOKUP($G414,[1]DB2!$A:$B,2,0),"공동과책 확인")</f>
        <v>Han, Haejin</v>
      </c>
      <c r="P414" s="32" t="s">
        <v>2257</v>
      </c>
      <c r="Q414" s="32" t="s">
        <v>2255</v>
      </c>
      <c r="R414" s="32" t="str">
        <f>IFERROR(VLOOKUP($I414,[1]DB2!$F$2:$I$58,2,0),"옛날 부서명 확인")</f>
        <v xml:space="preserve">Water Management Division </v>
      </c>
      <c r="S414" s="32" t="str">
        <f>IFERROR(VLOOKUP($I414,[1]DB2!$F$2:$I$58,4,0),"옛날 부서명 확인")</f>
        <v xml:space="preserve">Land and Environment Research Group </v>
      </c>
    </row>
  </sheetData>
  <autoFilter ref="A1:S414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71:O1048576">
    <cfRule type="containsText" dxfId="44" priority="62" operator="containsText" text="공동">
      <formula>NOT(ISERROR(SEARCH("공동",O371)))</formula>
    </cfRule>
  </conditionalFormatting>
  <conditionalFormatting sqref="R371:S1048576">
    <cfRule type="containsText" dxfId="43" priority="61" operator="containsText" text="옛날">
      <formula>NOT(ISERROR(SEARCH("옛날",R371)))</formula>
    </cfRule>
  </conditionalFormatting>
  <conditionalFormatting sqref="D366:D1048576">
    <cfRule type="duplicateValues" dxfId="42" priority="36"/>
  </conditionalFormatting>
  <conditionalFormatting sqref="C366:C1048576">
    <cfRule type="duplicateValues" dxfId="41" priority="32"/>
    <cfRule type="duplicateValues" dxfId="40" priority="34"/>
  </conditionalFormatting>
  <conditionalFormatting sqref="O115:O121 O112:O113 O123:O195 O1:O109 O197:O234 O236:O365">
    <cfRule type="containsText" dxfId="39" priority="30" operator="containsText" text="공동">
      <formula>NOT(ISERROR(SEARCH("공동",O1)))</formula>
    </cfRule>
  </conditionalFormatting>
  <conditionalFormatting sqref="R115:S121 R112:S113 R197:S234 R1:S109 R236:S365 R123:S195">
    <cfRule type="containsText" dxfId="38" priority="29" operator="containsText" text="옛날">
      <formula>NOT(ISERROR(SEARCH("옛날",R1)))</formula>
    </cfRule>
  </conditionalFormatting>
  <conditionalFormatting sqref="O110">
    <cfRule type="containsText" dxfId="37" priority="28" operator="containsText" text="공동">
      <formula>NOT(ISERROR(SEARCH("공동",O110)))</formula>
    </cfRule>
  </conditionalFormatting>
  <conditionalFormatting sqref="R110:S110">
    <cfRule type="containsText" dxfId="36" priority="27" operator="containsText" text="옛날">
      <formula>NOT(ISERROR(SEARCH("옛날",R110)))</formula>
    </cfRule>
  </conditionalFormatting>
  <conditionalFormatting sqref="O111">
    <cfRule type="containsText" dxfId="35" priority="26" operator="containsText" text="공동">
      <formula>NOT(ISERROR(SEARCH("공동",O111)))</formula>
    </cfRule>
  </conditionalFormatting>
  <conditionalFormatting sqref="R111:S111">
    <cfRule type="containsText" dxfId="34" priority="25" operator="containsText" text="옛날">
      <formula>NOT(ISERROR(SEARCH("옛날",R111)))</formula>
    </cfRule>
  </conditionalFormatting>
  <conditionalFormatting sqref="O114">
    <cfRule type="containsText" dxfId="33" priority="24" operator="containsText" text="공동">
      <formula>NOT(ISERROR(SEARCH("공동",O114)))</formula>
    </cfRule>
  </conditionalFormatting>
  <conditionalFormatting sqref="R114:S114">
    <cfRule type="containsText" dxfId="32" priority="23" operator="containsText" text="옛날">
      <formula>NOT(ISERROR(SEARCH("옛날",R114)))</formula>
    </cfRule>
  </conditionalFormatting>
  <conditionalFormatting sqref="O122">
    <cfRule type="containsText" dxfId="31" priority="22" operator="containsText" text="공동">
      <formula>NOT(ISERROR(SEARCH("공동",O122)))</formula>
    </cfRule>
  </conditionalFormatting>
  <conditionalFormatting sqref="R122:S122">
    <cfRule type="containsText" dxfId="30" priority="21" operator="containsText" text="옛날">
      <formula>NOT(ISERROR(SEARCH("옛날",R122)))</formula>
    </cfRule>
  </conditionalFormatting>
  <conditionalFormatting sqref="O196">
    <cfRule type="containsText" dxfId="29" priority="20" operator="containsText" text="공동">
      <formula>NOT(ISERROR(SEARCH("공동",O196)))</formula>
    </cfRule>
  </conditionalFormatting>
  <conditionalFormatting sqref="R196:S196">
    <cfRule type="containsText" dxfId="28" priority="19" operator="containsText" text="옛날">
      <formula>NOT(ISERROR(SEARCH("옛날",R196)))</formula>
    </cfRule>
  </conditionalFormatting>
  <conditionalFormatting sqref="O235">
    <cfRule type="containsText" dxfId="27" priority="18" operator="containsText" text="공동">
      <formula>NOT(ISERROR(SEARCH("공동",O235)))</formula>
    </cfRule>
  </conditionalFormatting>
  <conditionalFormatting sqref="R235:S235">
    <cfRule type="containsText" dxfId="26" priority="17" operator="containsText" text="옛날">
      <formula>NOT(ISERROR(SEARCH("옛날",R235)))</formula>
    </cfRule>
  </conditionalFormatting>
  <conditionalFormatting sqref="C1:C365">
    <cfRule type="duplicateValues" dxfId="25" priority="15"/>
    <cfRule type="duplicateValues" dxfId="24" priority="16"/>
  </conditionalFormatting>
  <conditionalFormatting sqref="C241:C263">
    <cfRule type="duplicateValues" dxfId="23" priority="31"/>
  </conditionalFormatting>
  <conditionalFormatting sqref="D1:D1048576">
    <cfRule type="duplicateValues" dxfId="22" priority="14"/>
  </conditionalFormatting>
  <conditionalFormatting sqref="C1:C1048576">
    <cfRule type="duplicateValues" dxfId="21" priority="13"/>
  </conditionalFormatting>
  <conditionalFormatting sqref="O366">
    <cfRule type="containsText" dxfId="20" priority="12" operator="containsText" text="공동">
      <formula>NOT(ISERROR(SEARCH("공동",O366)))</formula>
    </cfRule>
  </conditionalFormatting>
  <conditionalFormatting sqref="R366:S366">
    <cfRule type="containsText" dxfId="19" priority="11" operator="containsText" text="옛날">
      <formula>NOT(ISERROR(SEARCH("옛날",R366)))</formula>
    </cfRule>
  </conditionalFormatting>
  <conditionalFormatting sqref="O367">
    <cfRule type="containsText" dxfId="18" priority="10" operator="containsText" text="공동">
      <formula>NOT(ISERROR(SEARCH("공동",O367)))</formula>
    </cfRule>
  </conditionalFormatting>
  <conditionalFormatting sqref="R367:S367">
    <cfRule type="containsText" dxfId="17" priority="9" operator="containsText" text="옛날">
      <formula>NOT(ISERROR(SEARCH("옛날",R367)))</formula>
    </cfRule>
  </conditionalFormatting>
  <conditionalFormatting sqref="O368">
    <cfRule type="containsText" dxfId="16" priority="8" operator="containsText" text="공동">
      <formula>NOT(ISERROR(SEARCH("공동",O368)))</formula>
    </cfRule>
  </conditionalFormatting>
  <conditionalFormatting sqref="R368:S368">
    <cfRule type="containsText" dxfId="15" priority="7" operator="containsText" text="옛날">
      <formula>NOT(ISERROR(SEARCH("옛날",R368)))</formula>
    </cfRule>
  </conditionalFormatting>
  <conditionalFormatting sqref="O369">
    <cfRule type="containsText" dxfId="14" priority="6" operator="containsText" text="공동">
      <formula>NOT(ISERROR(SEARCH("공동",O369)))</formula>
    </cfRule>
  </conditionalFormatting>
  <conditionalFormatting sqref="R369:S369">
    <cfRule type="containsText" dxfId="13" priority="5" operator="containsText" text="옛날">
      <formula>NOT(ISERROR(SEARCH("옛날",R369)))</formula>
    </cfRule>
  </conditionalFormatting>
  <conditionalFormatting sqref="O370">
    <cfRule type="containsText" dxfId="12" priority="4" operator="containsText" text="공동">
      <formula>NOT(ISERROR(SEARCH("공동",O370)))</formula>
    </cfRule>
  </conditionalFormatting>
  <conditionalFormatting sqref="R370:S370">
    <cfRule type="containsText" dxfId="11" priority="3" operator="containsText" text="옛날">
      <formula>NOT(ISERROR(SEARCH("옛날",R370)))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workbookViewId="0">
      <selection activeCell="I12" sqref="I12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2109</v>
      </c>
      <c r="G10" s="11" t="s">
        <v>2110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2108</v>
      </c>
      <c r="G12" s="11" t="s">
        <v>2111</v>
      </c>
      <c r="H12" s="11" t="s">
        <v>952</v>
      </c>
      <c r="I12" s="11" t="s">
        <v>2497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2114</v>
      </c>
      <c r="G14" s="11" t="s">
        <v>2115</v>
      </c>
      <c r="H14" s="11" t="s">
        <v>2112</v>
      </c>
      <c r="I14" s="11" t="s">
        <v>2113</v>
      </c>
    </row>
    <row r="15" spans="1:9">
      <c r="A15" s="7" t="s">
        <v>1043</v>
      </c>
      <c r="B15" s="7" t="s">
        <v>1044</v>
      </c>
      <c r="F15" s="11" t="s">
        <v>2116</v>
      </c>
      <c r="G15" s="11" t="s">
        <v>2117</v>
      </c>
      <c r="H15" s="11" t="s">
        <v>2112</v>
      </c>
      <c r="I15" s="11" t="s">
        <v>2113</v>
      </c>
    </row>
    <row r="16" spans="1:9">
      <c r="A16" s="6" t="s">
        <v>604</v>
      </c>
      <c r="B16" s="7" t="s">
        <v>1045</v>
      </c>
      <c r="F16" s="11" t="s">
        <v>2374</v>
      </c>
      <c r="G16" s="11" t="s">
        <v>2375</v>
      </c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2370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2022</v>
      </c>
      <c r="I53" s="11"/>
    </row>
    <row r="54" spans="1:9">
      <c r="A54" s="6" t="s">
        <v>1110</v>
      </c>
      <c r="B54" s="7" t="s">
        <v>1111</v>
      </c>
      <c r="F54" s="11" t="s">
        <v>2371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42" t="s">
        <v>2373</v>
      </c>
      <c r="G56" s="42" t="s">
        <v>2372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2332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10" priority="6"/>
    <cfRule type="duplicateValues" dxfId="9" priority="7"/>
  </conditionalFormatting>
  <conditionalFormatting sqref="B9">
    <cfRule type="duplicateValues" dxfId="8" priority="1"/>
    <cfRule type="duplicateValues" dxfId="7" priority="2"/>
  </conditionalFormatting>
  <conditionalFormatting sqref="B39">
    <cfRule type="duplicateValues" dxfId="6" priority="4"/>
    <cfRule type="duplicateValues" dxfId="5" priority="5"/>
  </conditionalFormatting>
  <conditionalFormatting sqref="B221:B222">
    <cfRule type="duplicateValues" dxfId="4" priority="8"/>
  </conditionalFormatting>
  <conditionalFormatting sqref="B223">
    <cfRule type="duplicateValues" dxfId="3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2026-06-26T08:04:17Z</dcterms:modified>
</cp:coreProperties>
</file>